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a4ab3c1b58552483/Desktop/"/>
    </mc:Choice>
  </mc:AlternateContent>
  <xr:revisionPtr revIDLastSave="1" documentId="8_{21F25FBE-640C-4ADB-A460-73E80AEB082F}" xr6:coauthVersionLast="47" xr6:coauthVersionMax="47" xr10:uidLastSave="{E77A721B-728C-4582-A5F7-DCBE24251344}"/>
  <bookViews>
    <workbookView xWindow="-96" yWindow="0" windowWidth="14016" windowHeight="12336" firstSheet="1" activeTab="1" xr2:uid="{00000000-000D-0000-FFFF-FFFF00000000}"/>
  </bookViews>
  <sheets>
    <sheet name="Raw_Data" sheetId="1" r:id="rId1"/>
    <sheet name="Cleaned_Data" sheetId="2" r:id="rId2"/>
    <sheet name="Excel_Analysis" sheetId="3" r:id="rId3"/>
    <sheet name="Insights_Summary" sheetId="4" r:id="rId4"/>
    <sheet name="Secondary_Research" sheetId="5" r:id="rId5"/>
    <sheet name="Competitior_Benchmarking" sheetId="6" r:id="rId6"/>
    <sheet name="Business_Analysis" sheetId="7" r:id="rId7"/>
    <sheet name="STP_Strategy" sheetId="8" r:id="rId8"/>
    <sheet name="Recommendations_Roadmap" sheetId="9" r:id="rId9"/>
  </sheets>
  <calcPr calcId="191029"/>
  <pivotCaches>
    <pivotCache cacheId="0"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I2" i="2" l="1"/>
  <c r="AI3" i="2"/>
  <c r="AI4" i="2"/>
  <c r="AI5" i="2"/>
  <c r="AI6" i="2"/>
  <c r="AI7" i="2"/>
  <c r="AI8" i="2"/>
  <c r="AI9" i="2"/>
  <c r="AI10" i="2"/>
  <c r="AI11" i="2"/>
  <c r="AI12" i="2"/>
  <c r="AI13" i="2"/>
  <c r="AI14" i="2"/>
  <c r="AI15" i="2"/>
  <c r="D119" i="3"/>
  <c r="D118" i="3"/>
  <c r="D117" i="3"/>
  <c r="D116" i="3"/>
  <c r="D115" i="3"/>
  <c r="D114" i="3"/>
  <c r="D113" i="3"/>
  <c r="D112" i="3"/>
  <c r="C119" i="3"/>
  <c r="C118" i="3"/>
  <c r="C117" i="3"/>
  <c r="C116" i="3"/>
  <c r="C115" i="3"/>
  <c r="C114" i="3"/>
  <c r="C113" i="3"/>
  <c r="C112" i="3"/>
  <c r="C111" i="3"/>
  <c r="D111" i="3"/>
  <c r="AS2" i="2"/>
  <c r="AS3" i="2"/>
  <c r="AS4" i="2"/>
  <c r="AS5" i="2"/>
  <c r="AS6" i="2"/>
  <c r="AS7" i="2"/>
  <c r="AS8" i="2"/>
  <c r="AS9" i="2"/>
  <c r="AS10" i="2"/>
  <c r="AS11" i="2"/>
  <c r="AS12" i="2"/>
  <c r="AS13" i="2"/>
  <c r="AS14" i="2"/>
  <c r="AS15" i="2"/>
  <c r="AR2" i="2"/>
  <c r="AR3" i="2"/>
  <c r="AR4" i="2"/>
  <c r="AR5" i="2"/>
  <c r="AR6" i="2"/>
  <c r="AR7" i="2"/>
  <c r="AR8" i="2"/>
  <c r="AR9" i="2"/>
  <c r="AR10" i="2"/>
  <c r="AR11" i="2"/>
  <c r="AR12" i="2"/>
  <c r="AR13" i="2"/>
  <c r="AR14" i="2"/>
  <c r="AR15" i="2"/>
  <c r="AQ2" i="2"/>
  <c r="AQ3" i="2"/>
  <c r="AQ4" i="2"/>
  <c r="AQ5" i="2"/>
  <c r="AQ6" i="2"/>
  <c r="AQ7" i="2"/>
  <c r="AQ8" i="2"/>
  <c r="AQ9" i="2"/>
  <c r="AQ10" i="2"/>
  <c r="AQ11" i="2"/>
  <c r="AQ12" i="2"/>
  <c r="AQ13" i="2"/>
  <c r="AQ14" i="2"/>
  <c r="AQ15" i="2"/>
  <c r="AP2" i="2"/>
  <c r="AP3" i="2"/>
  <c r="AP4" i="2"/>
  <c r="AP5" i="2"/>
  <c r="AP6" i="2"/>
  <c r="AP7" i="2"/>
  <c r="AP8" i="2"/>
  <c r="AP9" i="2"/>
  <c r="AP10" i="2"/>
  <c r="AP11" i="2"/>
  <c r="AP12" i="2"/>
  <c r="AP13" i="2"/>
  <c r="AP14" i="2"/>
  <c r="AP15" i="2"/>
  <c r="AO2" i="2"/>
  <c r="AO3" i="2"/>
  <c r="AO4" i="2"/>
  <c r="AO5" i="2"/>
  <c r="AO6" i="2"/>
  <c r="AO7" i="2"/>
  <c r="AO8" i="2"/>
  <c r="AO9" i="2"/>
  <c r="AO10" i="2"/>
  <c r="AO11" i="2"/>
  <c r="AO12" i="2"/>
  <c r="AO13" i="2"/>
  <c r="AO14" i="2"/>
  <c r="AO15" i="2"/>
  <c r="AN2" i="2"/>
  <c r="AN3" i="2"/>
  <c r="AN4" i="2"/>
  <c r="AN5" i="2"/>
  <c r="AN6" i="2"/>
  <c r="AN7" i="2"/>
  <c r="AN8" i="2"/>
  <c r="AN9" i="2"/>
  <c r="AN10" i="2"/>
  <c r="AN11" i="2"/>
  <c r="AN12" i="2"/>
  <c r="AN13" i="2"/>
  <c r="AN14" i="2"/>
  <c r="AN15" i="2"/>
  <c r="AM2" i="2"/>
  <c r="AM3" i="2"/>
  <c r="AM4" i="2"/>
  <c r="AM5" i="2"/>
  <c r="AM6" i="2"/>
  <c r="AM7" i="2"/>
  <c r="AM8" i="2"/>
  <c r="AM9" i="2"/>
  <c r="AM10" i="2"/>
  <c r="AM11" i="2"/>
  <c r="AM12" i="2"/>
  <c r="AM13" i="2"/>
  <c r="AM14" i="2"/>
  <c r="AM15" i="2"/>
  <c r="AL2" i="2"/>
  <c r="AL3" i="2"/>
  <c r="AL4" i="2"/>
  <c r="AL5" i="2"/>
  <c r="AL6" i="2"/>
  <c r="AL7" i="2"/>
  <c r="AL8" i="2"/>
  <c r="AL9" i="2"/>
  <c r="AL10" i="2"/>
  <c r="AL11" i="2"/>
  <c r="AL12" i="2"/>
  <c r="AL13" i="2"/>
  <c r="AL14" i="2"/>
  <c r="AL15" i="2"/>
  <c r="I5" i="3"/>
  <c r="A5" i="3"/>
  <c r="AH2" i="2"/>
  <c r="AH3" i="2"/>
  <c r="AH4" i="2"/>
  <c r="AH5" i="2"/>
  <c r="AH6" i="2"/>
  <c r="AH7" i="2"/>
  <c r="AH8" i="2"/>
  <c r="AH9" i="2"/>
  <c r="AH10" i="2"/>
  <c r="AH11" i="2"/>
  <c r="AH12" i="2"/>
  <c r="AH13" i="2"/>
  <c r="AH14" i="2"/>
  <c r="AH15" i="2"/>
  <c r="AG2" i="2"/>
  <c r="AG3" i="2"/>
  <c r="AG4" i="2"/>
  <c r="AG5" i="2"/>
  <c r="AG6" i="2"/>
  <c r="AG7" i="2"/>
  <c r="AG8" i="2"/>
  <c r="AG9" i="2"/>
  <c r="AG10" i="2"/>
  <c r="AG11" i="2"/>
  <c r="AG12" i="2"/>
  <c r="AG13" i="2"/>
  <c r="AG14" i="2"/>
  <c r="AG15" i="2"/>
  <c r="AF2" i="2"/>
  <c r="AF3" i="2"/>
  <c r="AF4" i="2"/>
  <c r="AF5" i="2"/>
  <c r="AF6" i="2"/>
  <c r="AF7" i="2"/>
  <c r="AF8" i="2"/>
  <c r="AF9" i="2"/>
  <c r="AF10" i="2"/>
  <c r="AF11" i="2"/>
  <c r="AF12" i="2"/>
  <c r="AF13" i="2"/>
  <c r="AF14" i="2"/>
  <c r="AF15" i="2"/>
  <c r="AE2" i="2"/>
  <c r="AE3" i="2"/>
  <c r="AE4" i="2"/>
  <c r="AE5" i="2"/>
  <c r="AE6" i="2"/>
  <c r="AE7" i="2"/>
  <c r="AE8" i="2"/>
  <c r="AE9" i="2"/>
  <c r="AE10" i="2"/>
  <c r="AE11" i="2"/>
  <c r="AE12" i="2"/>
  <c r="AE13" i="2"/>
  <c r="AE14" i="2"/>
  <c r="AE15" i="2"/>
  <c r="AD2" i="2"/>
  <c r="AD3" i="2"/>
  <c r="AD4" i="2"/>
  <c r="AD5" i="2"/>
  <c r="AD6" i="2"/>
  <c r="AD7" i="2"/>
  <c r="AD8" i="2"/>
  <c r="AD9" i="2"/>
  <c r="AD10" i="2"/>
  <c r="AD11" i="2"/>
  <c r="AD12" i="2"/>
  <c r="AD13" i="2"/>
  <c r="AD14" i="2"/>
  <c r="AD15" i="2"/>
  <c r="AC2" i="2"/>
  <c r="AC3" i="2"/>
  <c r="AC4" i="2"/>
  <c r="AC5" i="2"/>
  <c r="AC6" i="2"/>
  <c r="AC7" i="2"/>
  <c r="AC8" i="2"/>
  <c r="AC9" i="2"/>
  <c r="AC10" i="2"/>
  <c r="AC11" i="2"/>
  <c r="AC12" i="2"/>
  <c r="AC13" i="2"/>
  <c r="AC14" i="2"/>
  <c r="AC15" i="2"/>
  <c r="AB2" i="2"/>
  <c r="AB3" i="2"/>
  <c r="AB4" i="2"/>
  <c r="AB5" i="2"/>
  <c r="AB6" i="2"/>
  <c r="AB7" i="2"/>
  <c r="AB8" i="2"/>
  <c r="AB9" i="2"/>
  <c r="AB10" i="2"/>
  <c r="AB11" i="2"/>
  <c r="AB12" i="2"/>
  <c r="AB13" i="2"/>
  <c r="AB14" i="2"/>
  <c r="AB15" i="2"/>
  <c r="AA2" i="2"/>
  <c r="AA3" i="2"/>
  <c r="AA4" i="2"/>
  <c r="AA5" i="2"/>
  <c r="AA6" i="2"/>
  <c r="AA7" i="2"/>
  <c r="AA8" i="2"/>
  <c r="AA9" i="2"/>
  <c r="AA10" i="2"/>
  <c r="AA11" i="2"/>
  <c r="AA12" i="2"/>
  <c r="AA13" i="2"/>
  <c r="AA14" i="2"/>
  <c r="AA15" i="2"/>
  <c r="Z2" i="2"/>
  <c r="Z3" i="2"/>
  <c r="Z4" i="2"/>
  <c r="Z5" i="2"/>
  <c r="Z6" i="2"/>
  <c r="Z7" i="2"/>
  <c r="Z8" i="2"/>
  <c r="Z9" i="2"/>
  <c r="Z10" i="2"/>
  <c r="Z11" i="2"/>
  <c r="Z12" i="2"/>
  <c r="Z13" i="2"/>
  <c r="Z14" i="2"/>
  <c r="Z15" i="2"/>
  <c r="Y2" i="2"/>
  <c r="Y3" i="2"/>
  <c r="Y4" i="2"/>
  <c r="Y5" i="2"/>
  <c r="Y6" i="2"/>
  <c r="Y7" i="2"/>
  <c r="Y8" i="2"/>
  <c r="Y9" i="2"/>
  <c r="Y10" i="2"/>
  <c r="Y11" i="2"/>
  <c r="Y12" i="2"/>
  <c r="Y13" i="2"/>
  <c r="Y14" i="2"/>
  <c r="Y15" i="2"/>
  <c r="X2" i="2"/>
  <c r="X3" i="2"/>
  <c r="X4" i="2"/>
  <c r="X5" i="2"/>
  <c r="X6" i="2"/>
  <c r="X7" i="2"/>
  <c r="X8" i="2"/>
  <c r="X9" i="2"/>
  <c r="X10" i="2"/>
  <c r="X11" i="2"/>
  <c r="X12" i="2"/>
  <c r="X13" i="2"/>
  <c r="X14" i="2"/>
  <c r="X15" i="2"/>
  <c r="W3" i="2"/>
  <c r="W2" i="2"/>
  <c r="W4" i="2"/>
  <c r="W5" i="2"/>
  <c r="W6" i="2"/>
  <c r="W7" i="2"/>
  <c r="W8" i="2"/>
  <c r="W9" i="2"/>
  <c r="W10" i="2"/>
  <c r="W11" i="2"/>
  <c r="W12" i="2"/>
  <c r="W13" i="2"/>
  <c r="W14" i="2"/>
  <c r="W15" i="2"/>
  <c r="V2" i="2"/>
  <c r="V3" i="2"/>
  <c r="V4" i="2"/>
  <c r="V5" i="2"/>
  <c r="V6" i="2"/>
  <c r="V7" i="2"/>
  <c r="V8" i="2"/>
  <c r="V9" i="2"/>
  <c r="V10" i="2"/>
  <c r="V11" i="2"/>
  <c r="V12" i="2"/>
  <c r="V13" i="2"/>
  <c r="V14" i="2"/>
  <c r="V15" i="2"/>
  <c r="U2" i="2"/>
  <c r="U3" i="2"/>
  <c r="U4" i="2"/>
  <c r="U5" i="2"/>
  <c r="U6" i="2"/>
  <c r="U7" i="2"/>
  <c r="U8" i="2"/>
  <c r="U9" i="2"/>
  <c r="U10" i="2"/>
  <c r="U11" i="2"/>
  <c r="U12" i="2"/>
  <c r="U13" i="2"/>
  <c r="U14" i="2"/>
  <c r="U15" i="2"/>
  <c r="T2" i="2"/>
  <c r="T3" i="2"/>
  <c r="T4" i="2"/>
  <c r="T5" i="2"/>
  <c r="T6" i="2"/>
  <c r="T7" i="2"/>
  <c r="T8" i="2"/>
  <c r="T9" i="2"/>
  <c r="T10" i="2"/>
  <c r="T11" i="2"/>
  <c r="T12" i="2"/>
  <c r="T13" i="2"/>
  <c r="T14" i="2"/>
  <c r="T15" i="2"/>
  <c r="S2" i="2"/>
  <c r="S3" i="2"/>
  <c r="S4" i="2"/>
  <c r="S5" i="2"/>
  <c r="S6" i="2"/>
  <c r="S7" i="2"/>
  <c r="S8" i="2"/>
  <c r="S9" i="2"/>
  <c r="S10" i="2"/>
  <c r="S11" i="2"/>
  <c r="S12" i="2"/>
  <c r="S13" i="2"/>
  <c r="S14" i="2"/>
  <c r="S15" i="2"/>
  <c r="R2" i="2"/>
  <c r="R3" i="2"/>
  <c r="R4" i="2"/>
  <c r="R5" i="2"/>
  <c r="R6" i="2"/>
  <c r="R7" i="2"/>
  <c r="R8" i="2"/>
  <c r="R9" i="2"/>
  <c r="R10" i="2"/>
  <c r="R11" i="2"/>
  <c r="R12" i="2"/>
  <c r="R13" i="2"/>
  <c r="R14" i="2"/>
  <c r="R15" i="2"/>
  <c r="Q2" i="2"/>
  <c r="Q3" i="2"/>
  <c r="Q4" i="2"/>
  <c r="Q5" i="2"/>
  <c r="Q6" i="2"/>
  <c r="Q7" i="2"/>
  <c r="Q8" i="2"/>
  <c r="Q9" i="2"/>
  <c r="Q10" i="2"/>
  <c r="Q11" i="2"/>
  <c r="Q12" i="2"/>
  <c r="Q13" i="2"/>
  <c r="Q14" i="2"/>
  <c r="Q15" i="2"/>
  <c r="P2" i="2"/>
  <c r="P3" i="2"/>
  <c r="P4" i="2"/>
  <c r="P5" i="2"/>
  <c r="P6" i="2"/>
  <c r="P7" i="2"/>
  <c r="P8" i="2"/>
  <c r="P9" i="2"/>
  <c r="P10" i="2"/>
  <c r="P11" i="2"/>
  <c r="P12" i="2"/>
  <c r="P13" i="2"/>
  <c r="P14" i="2"/>
  <c r="P15" i="2"/>
  <c r="O2" i="2"/>
  <c r="O3" i="2"/>
  <c r="O4" i="2"/>
  <c r="O5" i="2"/>
  <c r="O6" i="2"/>
  <c r="O7" i="2"/>
  <c r="O8" i="2"/>
  <c r="O9" i="2"/>
  <c r="O10" i="2"/>
  <c r="O11" i="2"/>
  <c r="O12" i="2"/>
  <c r="O13" i="2"/>
  <c r="O14" i="2"/>
  <c r="O15" i="2"/>
  <c r="N2" i="2"/>
  <c r="N3" i="2"/>
  <c r="N4" i="2"/>
  <c r="N5" i="2"/>
  <c r="AJ5" i="2" s="1"/>
  <c r="N6" i="2"/>
  <c r="N7" i="2"/>
  <c r="N8" i="2"/>
  <c r="N9" i="2"/>
  <c r="AJ9" i="2" s="1"/>
  <c r="N10" i="2"/>
  <c r="N11" i="2"/>
  <c r="N12" i="2"/>
  <c r="N13" i="2"/>
  <c r="AJ13" i="2" s="1"/>
  <c r="N14" i="2"/>
  <c r="N15" i="2"/>
  <c r="AJ14" i="2" l="1"/>
  <c r="AJ10" i="2"/>
  <c r="AJ6" i="2"/>
  <c r="AJ2" i="2"/>
  <c r="AJ15" i="2"/>
  <c r="AJ11" i="2"/>
  <c r="AJ7" i="2"/>
  <c r="AJ3" i="2"/>
  <c r="AJ12" i="2"/>
  <c r="AJ4" i="2"/>
  <c r="AJ8" i="2"/>
</calcChain>
</file>

<file path=xl/sharedStrings.xml><?xml version="1.0" encoding="utf-8"?>
<sst xmlns="http://schemas.openxmlformats.org/spreadsheetml/2006/main" count="848" uniqueCount="525">
  <si>
    <t>Timestamp</t>
  </si>
  <si>
    <t xml:space="preserve">What is your age group </t>
  </si>
  <si>
    <t xml:space="preserve">What best describes you?  </t>
  </si>
  <si>
    <t xml:space="preserve">How much do you usually spend on one pair of footwear?  </t>
  </si>
  <si>
    <t xml:space="preserve">Which type of footwear do you buy most often?  </t>
  </si>
  <si>
    <t xml:space="preserve">Which THREE factors matter most when buying footwear?  </t>
  </si>
  <si>
    <t xml:space="preserve">Which footwear brand would be your first choice today?  </t>
  </si>
  <si>
    <t>Have you ever purchased Bata footwear?</t>
  </si>
  <si>
    <t xml:space="preserve">Which words best describe Bata to you?  </t>
  </si>
  <si>
    <t xml:space="preserve">How likely are you to consider Bata for your next footwear purchase?  </t>
  </si>
  <si>
    <t xml:space="preserve">What might stop you from buying Bata?  </t>
  </si>
  <si>
    <t xml:space="preserve">What would make you more interested in Bata?  </t>
  </si>
  <si>
    <t xml:space="preserve">If Bata wanted to attract people your age, what ONE thing should it improve?  </t>
  </si>
  <si>
    <t>21-23</t>
  </si>
  <si>
    <t>Working Professional</t>
  </si>
  <si>
    <t>Below ₹1,000</t>
  </si>
  <si>
    <t>Casual</t>
  </si>
  <si>
    <t>Comfort</t>
  </si>
  <si>
    <t>Puma</t>
  </si>
  <si>
    <t>Yes, but long ago</t>
  </si>
  <si>
    <t>Comfortable, Affordable, Good Quality</t>
  </si>
  <si>
    <t>Not trendy enough</t>
  </si>
  <si>
    <t>Trendier Designs, Student friendly prices, Influencer collaborations, Better social media</t>
  </si>
  <si>
    <t>Latest designs, comfort, good pricing.</t>
  </si>
  <si>
    <t>18-20</t>
  </si>
  <si>
    <t>Undergraduate</t>
  </si>
  <si>
    <t>Sneakers</t>
  </si>
  <si>
    <t>Red Tape</t>
  </si>
  <si>
    <t>Never purchased</t>
  </si>
  <si>
    <t>Not sure</t>
  </si>
  <si>
    <t>Nothing</t>
  </si>
  <si>
    <t>More sneakers</t>
  </si>
  <si>
    <t>Collaborate with popular youth icons or influencers.</t>
  </si>
  <si>
    <t>Sports</t>
  </si>
  <si>
    <t>Reliable</t>
  </si>
  <si>
    <t>Don't know enough about newer products</t>
  </si>
  <si>
    <t>Student friendly prices</t>
  </si>
  <si>
    <t>Expand their trendy sneaker lineup.</t>
  </si>
  <si>
    <t>₹1,000–1,999</t>
  </si>
  <si>
    <t>Skechers</t>
  </si>
  <si>
    <t>Considered but never purchased</t>
  </si>
  <si>
    <t>Comfortable, Stylish</t>
  </si>
  <si>
    <t>Prefer other brands</t>
  </si>
  <si>
    <t>More sneakers, Student friendly prices</t>
  </si>
  <si>
    <t>Launch modern streetwear and sneaker collaborations to appeal to younger audiences.</t>
  </si>
  <si>
    <t>Affordable, Good Quality, Easily available</t>
  </si>
  <si>
    <t>Trendier Designs, More sneakers</t>
  </si>
  <si>
    <t>Design</t>
  </si>
  <si>
    <t>Style</t>
  </si>
  <si>
    <t>Nike</t>
  </si>
  <si>
    <t>Student friendly prices, Better social media</t>
  </si>
  <si>
    <t>More gens inclined designs</t>
  </si>
  <si>
    <t>Other</t>
  </si>
  <si>
    <t>Yes, recently</t>
  </si>
  <si>
    <t>Brand image</t>
  </si>
  <si>
    <t>More sneakers, Loyalty rewards</t>
  </si>
  <si>
    <t>na</t>
  </si>
  <si>
    <t>Quality</t>
  </si>
  <si>
    <t>Youth friendly, Not sure</t>
  </si>
  <si>
    <t>No idea</t>
  </si>
  <si>
    <t>₹2,000–2,999</t>
  </si>
  <si>
    <t>Comfortable, Reliable, Good Quality</t>
  </si>
  <si>
    <t>Designs don't match my taste</t>
  </si>
  <si>
    <t>Trendier Designs, More sneakers, Influencer collaborations</t>
  </si>
  <si>
    <t>Advertising</t>
  </si>
  <si>
    <t>other</t>
  </si>
  <si>
    <t>Good Quality</t>
  </si>
  <si>
    <t>Loyalty rewards</t>
  </si>
  <si>
    <t>Comfort with style</t>
  </si>
  <si>
    <t>Youth friendly</t>
  </si>
  <si>
    <t xml:space="preserve">Trending design 
</t>
  </si>
  <si>
    <t>Brand</t>
  </si>
  <si>
    <t>Affordable</t>
  </si>
  <si>
    <t>Trendier Designs</t>
  </si>
  <si>
    <t xml:space="preserve">Make more abstract designs that attract youth </t>
  </si>
  <si>
    <t>Comfort, Price, Style</t>
  </si>
  <si>
    <t>Easily available</t>
  </si>
  <si>
    <t>Limited edited collections</t>
  </si>
  <si>
    <t xml:space="preserve">I guess style is.
</t>
  </si>
  <si>
    <t>₹5,000+</t>
  </si>
  <si>
    <t>Comfort, Style, Quality, Latest Trends</t>
  </si>
  <si>
    <t>Adidas</t>
  </si>
  <si>
    <t>Better and trending designs with comfort</t>
  </si>
  <si>
    <t>Current_Status</t>
  </si>
  <si>
    <t>Age_Group</t>
  </si>
  <si>
    <t>Spending_Range</t>
  </si>
  <si>
    <t>Footwear_Type</t>
  </si>
  <si>
    <t>Purchase_Factors</t>
  </si>
  <si>
    <t>First_Choice_Brand</t>
  </si>
  <si>
    <t>Bata_Purchase_History</t>
  </si>
  <si>
    <t>Bata_Perception</t>
  </si>
  <si>
    <t>Purchase_Likelihood</t>
  </si>
  <si>
    <t>Purchase_Barrier</t>
  </si>
  <si>
    <t>Desired_Improvement</t>
  </si>
  <si>
    <t>Open_Feedback</t>
  </si>
  <si>
    <t>Prefer Other brands</t>
  </si>
  <si>
    <t>Trending design</t>
  </si>
  <si>
    <t>Make more abstract designs that attract youth</t>
  </si>
  <si>
    <t>I guess style is.</t>
  </si>
  <si>
    <t>No actionable response</t>
  </si>
  <si>
    <t>Limited-edited collections</t>
  </si>
  <si>
    <t>PF_Comfort</t>
  </si>
  <si>
    <t>PF_Price</t>
  </si>
  <si>
    <t>PF_Style</t>
  </si>
  <si>
    <t>PF_Quality</t>
  </si>
  <si>
    <t>PF_Durability</t>
  </si>
  <si>
    <t>PF_Brand</t>
  </si>
  <si>
    <t>PF_Discounts</t>
  </si>
  <si>
    <t>PF_Reviews</t>
  </si>
  <si>
    <t>PF_Latest_Trends</t>
  </si>
  <si>
    <t>BP_Comfortable</t>
  </si>
  <si>
    <t>BP_Affordable</t>
  </si>
  <si>
    <t>BP_Reliable</t>
  </si>
  <si>
    <t>BP_Good_Quality</t>
  </si>
  <si>
    <t>BP_Stylish</t>
  </si>
  <si>
    <t>BP_Trendy</t>
  </si>
  <si>
    <t>BP_Traditional</t>
  </si>
  <si>
    <t>BP_Youth_Friendly</t>
  </si>
  <si>
    <t>BP_Easily_Available</t>
  </si>
  <si>
    <t>BP_Not_Sure</t>
  </si>
  <si>
    <t>Bata_Ever_Purchased</t>
  </si>
  <si>
    <t>Purchase_Intent_Group</t>
  </si>
  <si>
    <t>Spending_Score</t>
  </si>
  <si>
    <t>Selections_Count</t>
  </si>
  <si>
    <t>Respondent_ID</t>
  </si>
  <si>
    <t xml:space="preserve">Age Group Of Respondents </t>
  </si>
  <si>
    <t>Column Labels</t>
  </si>
  <si>
    <t>Grand Total</t>
  </si>
  <si>
    <t>Row Labels</t>
  </si>
  <si>
    <t>Sum of Respondent_ID</t>
  </si>
  <si>
    <t>Count of Respondent_ID</t>
  </si>
  <si>
    <t>Percent of Respondents</t>
  </si>
  <si>
    <t>Count of Respondents</t>
  </si>
  <si>
    <t>Current Status</t>
  </si>
  <si>
    <t>High</t>
  </si>
  <si>
    <t>Total Respondents</t>
  </si>
  <si>
    <t>Spending Range</t>
  </si>
  <si>
    <t>Preferred Footwear Type</t>
  </si>
  <si>
    <t>First Choice Brand</t>
  </si>
  <si>
    <t>Dominant Spending Range</t>
  </si>
  <si>
    <t>Below 2000 rupees</t>
  </si>
  <si>
    <t>Top Footwear Type</t>
  </si>
  <si>
    <t xml:space="preserve">Footwear Type x Spending Range </t>
  </si>
  <si>
    <t>Low</t>
  </si>
  <si>
    <t>Bata Purchase History</t>
  </si>
  <si>
    <t>Purchase Intention</t>
  </si>
  <si>
    <t>Neutral</t>
  </si>
  <si>
    <t>Average Purchase Likelihood</t>
  </si>
  <si>
    <t>Bata Perception using your binary numbers</t>
  </si>
  <si>
    <t>Sum of BP_Comfortable</t>
  </si>
  <si>
    <t>Sum of BP_Affordable</t>
  </si>
  <si>
    <t>Sum of BP_Good_Quality</t>
  </si>
  <si>
    <t>Sum of BP_Reliable</t>
  </si>
  <si>
    <t>Sum of BP_Stylish</t>
  </si>
  <si>
    <t>Sum of BP_Youth_Friendly</t>
  </si>
  <si>
    <t>Sum of BP_Traditional</t>
  </si>
  <si>
    <t>Sum of BP_Trendy</t>
  </si>
  <si>
    <t>Sum of BP_Easily_Available</t>
  </si>
  <si>
    <t>Sum of BP_Not_Sure</t>
  </si>
  <si>
    <t>Purchase Barriers</t>
  </si>
  <si>
    <t>Desired Improvements</t>
  </si>
  <si>
    <t>DI_Trendier_Designs</t>
  </si>
  <si>
    <t>DI_More_Sneakers</t>
  </si>
  <si>
    <t>DI_Influencer_Collab</t>
  </si>
  <si>
    <t>DI_Better_Social_Media</t>
  </si>
  <si>
    <t>DI_Limited_Edition</t>
  </si>
  <si>
    <t>DI_Better_Online</t>
  </si>
  <si>
    <t>DI_Loyalty_Rewards</t>
  </si>
  <si>
    <t>DI_Student_Friendly_Pricing</t>
  </si>
  <si>
    <t>Sum of DI_Trendier_Designs</t>
  </si>
  <si>
    <t>Sum of DI_More_Sneakers</t>
  </si>
  <si>
    <t>Sum of DI_Student_Friendly_Pricing</t>
  </si>
  <si>
    <t>Sum of DI_Influencer_Collab</t>
  </si>
  <si>
    <t>Sum of DI_Better_Social_Media</t>
  </si>
  <si>
    <t>Sum of DI_Limited_Edition</t>
  </si>
  <si>
    <t>Sum of DI_Better_Online</t>
  </si>
  <si>
    <t>Sum of DI_Loyalty_Rewards</t>
  </si>
  <si>
    <t>Purchase History x Future Purchase Intention</t>
  </si>
  <si>
    <t>No</t>
  </si>
  <si>
    <t>Yes</t>
  </si>
  <si>
    <t>Business Question:</t>
  </si>
  <si>
    <t>Does previous Bata experience appear related to future purchase consideration?</t>
  </si>
  <si>
    <t>Perception vs Purchase Likelihood</t>
  </si>
  <si>
    <t>Bata Perception</t>
  </si>
  <si>
    <t>Respondents Selecting</t>
  </si>
  <si>
    <t>Avg. Purchase Likelihood</t>
  </si>
  <si>
    <t>Comfortable</t>
  </si>
  <si>
    <t>Stylish</t>
  </si>
  <si>
    <t>Trendy</t>
  </si>
  <si>
    <t>Traditional</t>
  </si>
  <si>
    <t>Youth Friendly</t>
  </si>
  <si>
    <t xml:space="preserve">Easily Available </t>
  </si>
  <si>
    <t>Footwear Preference x Bata Opportunity</t>
  </si>
  <si>
    <t>Top Requested Improvement</t>
  </si>
  <si>
    <t>More Sneakers</t>
  </si>
  <si>
    <t>Top Bata Perception</t>
  </si>
  <si>
    <t>3.0 / 5</t>
  </si>
  <si>
    <t>Affordable % Good Quality</t>
  </si>
  <si>
    <t xml:space="preserve">BATA NEXT - Key Business Insights </t>
  </si>
  <si>
    <t>Interpretation of Exploratory Consumer Survey Findings</t>
  </si>
  <si>
    <t>KEY BUSINESS INSIGHTS</t>
  </si>
  <si>
    <t>Finding</t>
  </si>
  <si>
    <t>Evidence</t>
  </si>
  <si>
    <t>Business Interpretation</t>
  </si>
  <si>
    <t>Sneakers dominate footwear preference</t>
  </si>
  <si>
    <t>8 of 14 respondents mainly purchase sneakers.</t>
  </si>
  <si>
    <t>Casual and youth-oriented footwear appears especially relevant within this sample.</t>
  </si>
  <si>
    <t>Respondents are relatively price-conscious</t>
  </si>
  <si>
    <t>10 of 14 respondents usually spend below ₹2,000 per pair.</t>
  </si>
  <si>
    <t>Youth-focused offerings may need to remain within accessible price ranges.</t>
  </si>
  <si>
    <t>Bata has strong past usage but weak current preference</t>
  </si>
  <si>
    <t>11 of 14 respondents have purchased Bata before, but none selected Bata as their current first-choice brand.</t>
  </si>
  <si>
    <t>Familiarity with Bata exists, but it is not translating strongly into current brand preference.</t>
  </si>
  <si>
    <t>Purchase consideration is moderate</t>
  </si>
  <si>
    <t>Average likelihood of considering Bata for the next purchase is 3.0/5.</t>
  </si>
  <si>
    <t>Respondents are not strongly rejecting Bata, suggesting scope to improve consideration.</t>
  </si>
  <si>
    <t>Bata's strongest associations are functional</t>
  </si>
  <si>
    <t>Affordable and Good Quality were the most selected perceptions, with 5 respondents each.</t>
  </si>
  <si>
    <t>Bata appears to retain positive value and quality associations.</t>
  </si>
  <si>
    <t>Style relevance appears to be an important barrier</t>
  </si>
  <si>
    <t>7 of 14 respondents selected either “Not trendy enough” or “Designs don't match my taste.”</t>
  </si>
  <si>
    <t>Product styling and trend relevance may be limiting stronger appeal among younger respondents.</t>
  </si>
  <si>
    <t>Sneakers represent the clearest product opportunity</t>
  </si>
  <si>
    <t>More Sneakers was selected by 6 respondents; Trendier Designs and Student-Friendly Pricing were selected by 5 each.</t>
  </si>
  <si>
    <t>A youth-focused sneaker proposition could be worth exploring while retaining affordable pricing.</t>
  </si>
  <si>
    <t>Core Business Finding</t>
  </si>
  <si>
    <t>The exploratory survey suggests that Bata retains familiarity, affordability and quality associations among respondents, but these strengths are not fully translating into current brand preference. Product style, trend relevance and sneaker offerings emerge as potential areas for improving consideration among younger consumers.</t>
  </si>
  <si>
    <t>Emerging Business Opportunity</t>
  </si>
  <si>
    <t>The strongest opportunity indicated by the survey is not necessarily changing Bata's core value proposition, but strengthening its youth-facing product and brand experience. A combination of more relevant sneaker options, trend-conscious designs and accessible pricing could be explored further.</t>
  </si>
  <si>
    <t>Study Limitations</t>
  </si>
  <si>
    <t>The study uses a convenience sample of 14 respondents, so findings are exploratory and should not be generalised to the wider Gen Z population in India. Some respondents also did not follow the requested number of selections in the purchase-factor question; therefore, those results are interpreted cautiously. Further research with a larger and more diverse sample would improve reliability.</t>
  </si>
  <si>
    <t>Research Area</t>
  </si>
  <si>
    <t>What Bata is Currently Doing</t>
  </si>
  <si>
    <t>Evidence / Observation</t>
  </si>
  <si>
    <t>Source</t>
  </si>
  <si>
    <t>Youth Focus</t>
  </si>
  <si>
    <t>Bata is actively trying to build stronger relevance with younger consumers.</t>
  </si>
  <si>
    <t>Its FY2025–26 annual report explicitly highlights “Youth-first brand momentum.” (FinancialFilings)</t>
  </si>
  <si>
    <t>Sneaker Strategy</t>
  </si>
  <si>
    <t>Bata is already focusing on sneakers and casualisation.</t>
  </si>
  <si>
    <t>The annual report states that its sneaker category was led by Power, and Bata describes ongoing “sneakerisation” and casualisation initiatives. (FinancialFilings)</t>
  </si>
  <si>
    <t>Current Sneaker Offering</t>
  </si>
  <si>
    <t>Bata already sells a sizeable range of sneakers through North Star and Power.</t>
  </si>
  <si>
    <t>Bata’s current site shows dozens of North Star and Power sneaker options, including products around ₹899, ₹1,499, ₹1,999 and ₹2,499. (Bata)</t>
  </si>
  <si>
    <t>Affordability</t>
  </si>
  <si>
    <t>Bata is trying to strengthen affordability across core brands.</t>
  </si>
  <si>
    <t>The company says it is simplifying price points and strengthening its value proposition. (FinancialFilings)</t>
  </si>
  <si>
    <t>Digital Strategy</t>
  </si>
  <si>
    <t>Bata is expanding e-commerce and digital channels.</t>
  </si>
  <si>
    <t>Bata says its digital-enabled business has grown substantially, with its own website, marketplaces, app and expanded online fulfilment from stores. (FinancialFilings)</t>
  </si>
  <si>
    <t>Influencer Marketing</t>
  </si>
  <si>
    <t>Bata already uses influencer-led campaigns.</t>
  </si>
  <si>
    <t>The annual report mentions collaborations with digital creators and over 100 influencers to strengthen connection with younger consumers. (FinancialFilings)</t>
  </si>
  <si>
    <t>Trend-led Marketing</t>
  </si>
  <si>
    <t>Bata is already using trend-led product storytelling.</t>
  </si>
  <si>
    <t>Bata reports combining trend-led product communication with digital-first customer engagement. (FinancialFilings)</t>
  </si>
  <si>
    <t>Preliminary Secondary Research Insight</t>
  </si>
  <si>
    <t>Secondary research indicates that Bata is already investing in sneakerisation, youth-focused campaigns, influencer marketing, digital channels and accessible price points. However, the primary survey still shows relatively weak current preference for Bata among respondents. This suggests that the business opportunity may lie not only in expanding product offerings, but also in improving awareness, positioning and perception of Bata’s existing youth-oriented portfolio.</t>
  </si>
  <si>
    <t>Factor</t>
  </si>
  <si>
    <t>Bata</t>
  </si>
  <si>
    <t>Campus</t>
  </si>
  <si>
    <t>Sneaker Offering</t>
  </si>
  <si>
    <t>Bata currently lists a substantial sneaker range across Bata, North Star and Power.</t>
  </si>
  <si>
    <t>Campus has a very broad dedicated men’s sneaker catalogue.</t>
  </si>
  <si>
    <t>Red Tape has a large casual/lifestyle sneaker offering within men’s footwear.</t>
  </si>
  <si>
    <t>Puma has a very broad sneaker portfolio with lifestyle, performance and collaboration-led products.</t>
  </si>
  <si>
    <t>Observed Price Positioning</t>
  </si>
  <si>
    <t>Many current sneaker/running options are around ₹899–₹2,499. (Bata)</t>
  </si>
  <si>
    <t>Many current sneaker listings are around ₹900–₹1,800 after discounts. (Campus Shoes)</t>
  </si>
  <si>
    <t>Many visible lifestyle/casual sneakers are around ₹975–₹1,300 after discounts. (Redtape)</t>
  </si>
  <si>
    <t>Many visible sneaker listings are around ₹3,000–₹10,000+, with some discounted lower. (PUMA India)</t>
  </si>
  <si>
    <t>Value Proposition</t>
  </si>
  <si>
    <t>Affordable everyday footwear with Power/North Star covering sports and casual styles.</t>
  </si>
  <si>
    <t>Strong value-for-money sneaker positioning with frequent discounts.</t>
  </si>
  <si>
    <t>Aggressive discount-led value positioning across casual and athleisure shoes.</t>
  </si>
  <si>
    <t>Premium sports-fashion positioning with stronger lifestyle and performance emphasis.</t>
  </si>
  <si>
    <t>Style / Trend Presentation</t>
  </si>
  <si>
    <t>Modern products are available, but the product presentation is relatively functional.</t>
  </si>
  <si>
    <t>Product pages strongly emphasise sneaker variety, colours and contemporary designs.</t>
  </si>
  <si>
    <t>Lifestyle, athleisure and casual styling are highly visible.</t>
  </si>
  <si>
    <t>Strong trend-led storytelling around icons such as Speedcat, Palermo and Suede. (PUMA India)</t>
  </si>
  <si>
    <t>Discount Visibility</t>
  </si>
  <si>
    <t>Discounts are present, but not always the central message.</t>
  </si>
  <si>
    <t>Discounts are highly visible across many sneaker listings. (Campus Shoes)</t>
  </si>
  <si>
    <t>Very large promotional discounts are prominently displayed across the website. (Redtape)</t>
  </si>
  <si>
    <t>Frequent discounts exist, but the brand also highlights premium collections and collaborations. (PUMA India)</t>
  </si>
  <si>
    <t>Youth-Relevant Product Focus</t>
  </si>
  <si>
    <t>Sneakers, walking, running and casual shoes are available through North Star and Power. (Bata)</t>
  </si>
  <si>
    <t>Sneakers appear to be a major visible product category. (Campus Shoes)</t>
  </si>
  <si>
    <t>Casual, lifestyle and athleisure footwear are highly prominent. (Redtape)</t>
  </si>
  <si>
    <t>Sneakers, sports fashion and collaborations are central to the current digital presentation. (PUMA India)</t>
  </si>
  <si>
    <t>Key Benchmarking Insight:</t>
  </si>
  <si>
    <t>Bata is already competitive on affordability and has a meaningful sneaker portfolio, so the exploratory survey’s weak current preference cannot be explained simply by a lack of affordable sneaker products. Campus and Red Tape compete strongly in similar price bands, while Puma differentiates through stronger premium lifestyle and trend-led positioning. This suggests that Bata’s challenge may involve how its youth-oriented products are perceived, communicated and positioned relative to competitors.</t>
  </si>
  <si>
    <t>Potential Gap Identified:</t>
  </si>
  <si>
    <t>The apparent gap is less about basic product availability and more about converting Bata’s existing sneaker and value offering into stronger youth relevance and first-choice preference.</t>
  </si>
  <si>
    <t>BATA NEXT - Business Analysis</t>
  </si>
  <si>
    <t>Connecting Consumer Research, Secondary Research and Competitive Benchmarking</t>
  </si>
  <si>
    <t>STRENGTHS</t>
  </si>
  <si>
    <t>WEAKNESSES</t>
  </si>
  <si>
    <t>Strong brand familiarity among surveyed respondents</t>
  </si>
  <si>
    <t>No respondent selected Bata as their current first-choice brand</t>
  </si>
  <si>
    <t>11 of 14 respondents have purchased Bata previously</t>
  </si>
  <si>
    <t>Average future purchase consideration is only 3.0/5</t>
  </si>
  <si>
    <t>Affordable and Good Quality are the strongest perceptions in the sample</t>
  </si>
  <si>
    <t>Style/trend relevance emerged as a barrier for several respondents</t>
  </si>
  <si>
    <t>Existing sneaker and youth-oriented offerings through brands such as Power and North Star</t>
  </si>
  <si>
    <t>Existing youth-oriented products may not be strongly recognised by surveyed consumers</t>
  </si>
  <si>
    <t>Broad offline and digital presence</t>
  </si>
  <si>
    <t>Possible gap between Bata's current initiatives and consumer perception</t>
  </si>
  <si>
    <t>OPPORTUNITIES</t>
  </si>
  <si>
    <t>THREATS</t>
  </si>
  <si>
    <t>Strengthen awareness of Bata's existing sneaker portfolio</t>
  </si>
  <si>
    <t>Strong value competition from Campus and Red Tape</t>
  </si>
  <si>
    <t>Position youth-oriented products more clearly toward younger consumers</t>
  </si>
  <si>
    <t>Premium lifestyle positioning from brands such as Puma</t>
  </si>
  <si>
    <t>More trend-led product communication</t>
  </si>
  <si>
    <t>Fast-changing footwear and fashion trends</t>
  </si>
  <si>
    <t>Student-focused campaigns and accessible pricing</t>
  </si>
  <si>
    <t>Heavy discounting by competitors can influence price-sensitive consumers</t>
  </si>
  <si>
    <t>Campus activations, digital creators and social-media campaigns</t>
  </si>
  <si>
    <t>Younger consumers have many alternative footwear brands available</t>
  </si>
  <si>
    <t>SWOT ANALYSIS</t>
  </si>
  <si>
    <t>Area</t>
  </si>
  <si>
    <t>Current Situation / As-Is</t>
  </si>
  <si>
    <t>Desired Situation / To-Be</t>
  </si>
  <si>
    <t>Identified Gap</t>
  </si>
  <si>
    <t>Brand Preference</t>
  </si>
  <si>
    <t>Bata has high familiarity and past usage, but no respondent chose it as their first-choice brand.</t>
  </si>
  <si>
    <t>Bata becomes a stronger consideration option among younger consumers.</t>
  </si>
  <si>
    <t>Familiarity is not translating into active preference.</t>
  </si>
  <si>
    <t>Youth Perception</t>
  </si>
  <si>
    <t>Bata is mainly associated with affordability and quality within the sample.</t>
  </si>
  <si>
    <t>Retain value/quality while also building stronger style and youth relevance.</t>
  </si>
  <si>
    <t>Functional associations appear stronger than aspirational/style associations.</t>
  </si>
  <si>
    <t>Sneaker Awareness</t>
  </si>
  <si>
    <t>Bata already offers sneakers, but respondents still requested more sneakers.</t>
  </si>
  <si>
    <t>Consumers recognise Bata as a relevant sneaker option.</t>
  </si>
  <si>
    <t>Possible awareness or positioning gap around the existing sneaker portfolio.</t>
  </si>
  <si>
    <t>Style Relevance</t>
  </si>
  <si>
    <t>Trendiness/design mismatch appears among the important barriers.</t>
  </si>
  <si>
    <t>Youth-oriented products are perceived as contemporary and desirable.</t>
  </si>
  <si>
    <t>Current perception may not fully reflect Bata's newer product offering.</t>
  </si>
  <si>
    <t>Pricing</t>
  </si>
  <si>
    <t>Most surveyed respondents spend below ₹2,000.</t>
  </si>
  <si>
    <t>Youth-focused products remain accessible to price-conscious consumers.</t>
  </si>
  <si>
    <t>Bata must improve youth relevance without losing its value positioning.</t>
  </si>
  <si>
    <t>Digital Communication</t>
  </si>
  <si>
    <t>Bata is already using digital and influencer initiatives.</t>
  </si>
  <si>
    <t>Younger consumers clearly notice and associate these efforts with Bata.</t>
  </si>
  <si>
    <t>Marketing activity may not be translating fully into perception among the surveyed respondents.</t>
  </si>
  <si>
    <t>GAP ANALYSIS</t>
  </si>
  <si>
    <t>AS-IS vs TO-BE</t>
  </si>
  <si>
    <t>AS-IS</t>
  </si>
  <si>
    <t>TO-BE</t>
  </si>
  <si>
    <t>Known and previously purchased brand</t>
  </si>
  <si>
    <r>
      <t xml:space="preserve">Known </t>
    </r>
    <r>
      <rPr>
        <b/>
        <sz val="10"/>
        <color rgb="FF000000"/>
        <rFont val="Arial"/>
        <family val="2"/>
        <scheme val="minor"/>
      </rPr>
      <t>and actively considered</t>
    </r>
    <r>
      <rPr>
        <sz val="10"/>
        <color rgb="FF000000"/>
        <rFont val="Arial"/>
        <family val="2"/>
        <scheme val="minor"/>
      </rPr>
      <t xml:space="preserve"> brand</t>
    </r>
  </si>
  <si>
    <t>Strong affordability/quality associations</t>
  </si>
  <si>
    <t>Affordability + quality + stronger style relevance</t>
  </si>
  <si>
    <t>Sneakers available but potentially under-recognised</t>
  </si>
  <si>
    <t>Sneaker portfolio clearly visible to younger consumers</t>
  </si>
  <si>
    <t>Moderate purchase consideration</t>
  </si>
  <si>
    <t>Stronger purchase consideration</t>
  </si>
  <si>
    <t>Youth initiatives exist</t>
  </si>
  <si>
    <t>Youth initiatives become more noticeable and relevant</t>
  </si>
  <si>
    <t>Functional brand perceptions dominate</t>
  </si>
  <si>
    <t>Balanced functional + contemporary brand perception</t>
  </si>
  <si>
    <t>REFINED BUSINESS PROBLEM</t>
  </si>
  <si>
    <t>Bata already offers affordable, youth-oriented footwear and is investing in sneakers, digital channels and younger audiences. However, exploratory primary research indicates that familiarity and previous usage are not translating strongly into current first-choice preference among surveyed young consumers. The key business challenge is therefore to understand how Bata can strengthen awareness, positioning and perceived relevance of its existing youth-oriented portfolio while retaining its established affordability and quality associations.</t>
  </si>
  <si>
    <t xml:space="preserve">BUSINESS OBJECTIVE: </t>
  </si>
  <si>
    <t>To identify practical opportunities for strengthening Bata's consideration among younger consumers by analysing footwear behaviour, brand perception, purchase barriers, competitor positioning and the gap between Bata's existing youth-oriented initiatives and consumer awareness/perception.</t>
  </si>
  <si>
    <t>WORKING HYPOTHESIS</t>
  </si>
  <si>
    <t>The primary challenge may not be the absence of youth-oriented products, but insufficient perception, awareness or positioning of those products among younger consumers.</t>
  </si>
  <si>
    <t>Customer Segmentation</t>
  </si>
  <si>
    <t>Segment</t>
  </si>
  <si>
    <t>Characteristics</t>
  </si>
  <si>
    <t>Main Need</t>
  </si>
  <si>
    <t>Relevance to Bata</t>
  </si>
  <si>
    <t>Value Seekers</t>
  </si>
  <si>
    <t>Price-conscious, compare offers, usually spend below ₹2,000</t>
  </si>
  <si>
    <t>Affordable footwear with acceptable quality</t>
  </si>
  <si>
    <t>High relevance because affordability is already a strong Bata perception</t>
  </si>
  <si>
    <t>Style Seekers</t>
  </si>
  <si>
    <t>Care about design, trends and appearance</t>
  </si>
  <si>
    <t>Trendier, contemporary footwear</t>
  </si>
  <si>
    <t>Important because style/design mismatch appeared as a barrier</t>
  </si>
  <si>
    <t>Sneaker-Focused Buyers</t>
  </si>
  <si>
    <t>Prefer sneakers and casual footwear</t>
  </si>
  <si>
    <t>More variety in everyday and fashion sneakers</t>
  </si>
  <si>
    <t>Important because sneakers were the most preferred footwear type</t>
  </si>
  <si>
    <t>Comfort-First Buyers</t>
  </si>
  <si>
    <t>Prioritise comfort, quality and durability</t>
  </si>
  <si>
    <t>Reliable everyday footwear</t>
  </si>
  <si>
    <t>Fits Bata's existing functional strengths</t>
  </si>
  <si>
    <t>Brand-Conscious Buyers</t>
  </si>
  <si>
    <t>Prefer brands with stronger image or aspirational value</t>
  </si>
  <si>
    <t>Brand appeal, visibility and social relevance</t>
  </si>
  <si>
    <t>Harder segment for Bata because current first-choice preference is weak</t>
  </si>
  <si>
    <t>Primary Target Segment</t>
  </si>
  <si>
    <t>Price-conscious young consumers who prefer sneakers and casual footwear but also care about contemporary style.</t>
  </si>
  <si>
    <t>Target Characteristics</t>
  </si>
  <si>
    <t>Young consumers / students / early professionals
Usually spend below ₹2,000
Prefer sneakers and casual footwear
Value affordability but do not want outdated-looking designs
Compare brands before purchasing
Influenced by style, online visibility and brand presentation</t>
  </si>
  <si>
    <t>Secondary Target</t>
  </si>
  <si>
    <t>Comfort-first young consumers who value quality, reliability and affordability but are open to more contemporary product options.</t>
  </si>
  <si>
    <t>Proposed Positioning Direction</t>
  </si>
  <si>
    <t>Affordable, reliable and contemporary footwear for young consumers who want everyday comfort without compromising on style.</t>
  </si>
  <si>
    <t>“Style that fits your life and your budget.”</t>
  </si>
  <si>
    <t>Positioning Gap</t>
  </si>
  <si>
    <t>Current Perception in Sample</t>
  </si>
  <si>
    <t>Desired Perception</t>
  </si>
  <si>
    <t>Affordable + Stylish</t>
  </si>
  <si>
    <t>Good Quality + Contemporary</t>
  </si>
  <si>
    <t>Reliable + Youth Relevant</t>
  </si>
  <si>
    <t>Familiar Brand</t>
  </si>
  <si>
    <t>Considered Brand</t>
  </si>
  <si>
    <t>Functional Footwear</t>
  </si>
  <si>
    <t>Functional + Fashionable Footwear</t>
  </si>
  <si>
    <t>Strategic Direction</t>
  </si>
  <si>
    <t>1. Product Visibility
Make Bata's existing sneaker and youth-focused range more visible.
2. Style Relevance
Strengthen trend-led design communication and presentation.
3. Value Positioning
Maintain accessible pricing because most surveyed respondents spend below ₹2,000.
4. Youth Communication
Use student-focused and social-first communication to improve awareness and consideration.</t>
  </si>
  <si>
    <t>Customer Persona</t>
  </si>
  <si>
    <t>The Value-Conscious Trend Seeker</t>
  </si>
  <si>
    <t>Age: 18–25
Profile: Student or early-career professional
Budget: Mostly below ₹2,000 per pair
Preferred Footwear: Sneakers / casual footwear
Needs: Style, comfort, affordability
Frustrations: Designs that feel outdated, limited perceived variety, weak brand excitement
Purchase Drivers: Price, style, comfort, quality
Opportunity for Bata: Offer and communicate contemporary sneakers at accessible prices</t>
  </si>
  <si>
    <t>Final Strategy Statement</t>
  </si>
  <si>
    <t>Bata should not abandon its established strengths of affordability, quality and reliability. The opportunity identified through this exploratory project is to strengthen youth consideration by making its contemporary sneaker and casual portfolio more visible, relevant and style-driven, while retaining accessible pricing.</t>
  </si>
  <si>
    <t>BATA NEXT — Strategic Recommendations &amp; Implementation Roadmap</t>
  </si>
  <si>
    <t>Recommendation</t>
  </si>
  <si>
    <t>Evidence Behind It</t>
  </si>
  <si>
    <t>Proposed Action</t>
  </si>
  <si>
    <t>Expected Business Impact</t>
  </si>
  <si>
    <t>1. Strengthen Sneaker Visibility</t>
  </si>
  <si>
    <t>Sneakers were the top footwear preference, and “More Sneakers” was the most requested improvement.</t>
  </si>
  <si>
    <t>Give Bata’s existing sneaker portfolio stronger visibility on digital channels, stores and youth-focused campaigns.</t>
  </si>
  <si>
    <t>Higher awareness of Bata as a sneaker option and potentially stronger consideration among younger buyers.</t>
  </si>
  <si>
    <t>2. Build Trend-Led Product Communication</t>
  </si>
  <si>
    <t>Style/design mismatch and “not trendy enough” appeared as major barriers.</t>
  </si>
  <si>
    <t>Highlight contemporary designs, styling ideas, new drops and outfit-based product content rather than only functional product messaging.</t>
  </si>
  <si>
    <t>Improve perceived style relevance without abandoning Bata’s quality/value image.</t>
  </si>
  <si>
    <t>3. Create Student-Focused Value Campaigns</t>
  </si>
  <si>
    <t>10 of 14 respondents usually spend below ₹2,000; student-friendly pricing was also requested by respondents.</t>
  </si>
  <si>
    <t>Test student promotions, campus offers, bundle deals or selected youth products within accessible price points.</t>
  </si>
  <si>
    <t>Improve consideration among price-conscious young consumers.</t>
  </si>
  <si>
    <t>4. Make Youth Collections Easier to Discover</t>
  </si>
  <si>
    <t>Secondary research indicates Bata already has youth-oriented sneaker products, yet respondents still requested more sneakers.</t>
  </si>
  <si>
    <t>Create clearer website/store sections such as “Trending Sneakers”, “Under ₹1,999” or “Campus Picks”.</t>
  </si>
  <si>
    <t>Reduce the gap between existing product availability and customer awareness.</t>
  </si>
  <si>
    <t>5. Strengthen Campus &amp; Social Engagement</t>
  </si>
  <si>
    <t>Survey findings suggest weak current first-choice preference despite strong familiarity.</t>
  </si>
  <si>
    <t>Use campus activations, student creators, micro-influencers, short-form video and user-generated styling content.</t>
  </si>
  <si>
    <t>Improve brand salience and relevance among younger audiences.</t>
  </si>
  <si>
    <t>Recommendation Priority</t>
  </si>
  <si>
    <t>Initiative</t>
  </si>
  <si>
    <t>Priority</t>
  </si>
  <si>
    <t>Reason</t>
  </si>
  <si>
    <t>Sneaker visibility</t>
  </si>
  <si>
    <t>Directly supported by footwear preference and desired-improvement data</t>
  </si>
  <si>
    <t>Trend-led communication</t>
  </si>
  <si>
    <t>Addresses one of the clearest identified perception barriers</t>
  </si>
  <si>
    <t>Student/value campaigns</t>
  </si>
  <si>
    <t>Closely matches observed spending behaviour</t>
  </si>
  <si>
    <t>Youth product discovery</t>
  </si>
  <si>
    <t>Medium–High</t>
  </si>
  <si>
    <t>Existing products may suffer from an awareness/positioning gap</t>
  </si>
  <si>
    <t>Campus/influencer activation</t>
  </si>
  <si>
    <t>Medium</t>
  </si>
  <si>
    <t>Useful for awareness, but should support rather than replace product/value improvements</t>
  </si>
  <si>
    <t>Phased Implementation Roadmap</t>
  </si>
  <si>
    <t>Phase</t>
  </si>
  <si>
    <t>Timeline</t>
  </si>
  <si>
    <t>Key Actions</t>
  </si>
  <si>
    <t>Phase 1 — Test &amp; Learn</t>
  </si>
  <si>
    <t>0–3 months</t>
  </si>
  <si>
    <t>Identify existing youth sneaker products, improve digital visibility, test “Under ₹1,999” merchandising, run small student/social campaigns, gather customer feedback</t>
  </si>
  <si>
    <t>Phase 2 — Build Engagement</t>
  </si>
  <si>
    <t>3–6 months</t>
  </si>
  <si>
    <t>Campus activations, micro-influencer partnerships, styling/reels content, limited youth promotions, optimise campaigns based on Phase 1 results</t>
  </si>
  <si>
    <t>Phase 3 — Scale What Works</t>
  </si>
  <si>
    <t>6–12 months</t>
  </si>
  <si>
    <t>Expand successful campaigns, refine youth collections, increase high-performing digital initiatives, strengthen loyalty/retention initiatives</t>
  </si>
  <si>
    <t>Success Metrics / KPIs</t>
  </si>
  <si>
    <t>Business Objective</t>
  </si>
  <si>
    <t>KPI</t>
  </si>
  <si>
    <t>What It Measures</t>
  </si>
  <si>
    <t>Improve youth awareness</t>
  </si>
  <si>
    <t>Youth Product Awareness %</t>
  </si>
  <si>
    <t>Whether consumers recognise Bata’s sneaker/youth portfolio</t>
  </si>
  <si>
    <t>Increase consideration</t>
  </si>
  <si>
    <t>Purchase Consideration Score</t>
  </si>
  <si>
    <t>Change in average likelihood to consider Bata</t>
  </si>
  <si>
    <t>Strengthen digital interest</t>
  </si>
  <si>
    <t>Engagement Rate</t>
  </si>
  <si>
    <t>Interaction with youth-focused digital content</t>
  </si>
  <si>
    <t>Improve product discovery</t>
  </si>
  <si>
    <t>Sneaker Product Page Views</t>
  </si>
  <si>
    <t>Traffic reaching Bata’s sneaker/youth product pages</t>
  </si>
  <si>
    <t>Improve conversion</t>
  </si>
  <si>
    <t>Sneaker Conversion Rate</t>
  </si>
  <si>
    <t>Percentage of visitors purchasing from targeted sneaker ranges</t>
  </si>
  <si>
    <t>Measure campaign impact</t>
  </si>
  <si>
    <t>Campaign CTR / Redemption Rate</t>
  </si>
  <si>
    <t>Response to student offers or digital promotions</t>
  </si>
  <si>
    <t>Build repeat behaviour</t>
  </si>
  <si>
    <t>Repeat Purchase Rate</t>
  </si>
  <si>
    <t>Whether first-time/younger buyers purchase again</t>
  </si>
  <si>
    <t>Track perception</t>
  </si>
  <si>
    <t>Style / Trend Perception Score</t>
  </si>
  <si>
    <t>Whether consumers increasingly associate Bata with contemporary style</t>
  </si>
  <si>
    <t>Recommended Pilot</t>
  </si>
  <si>
    <t>Before implementing a large-scale youth strategy, Bata could test the concept through a limited pilot targeted at college students and young professionals. The pilot could combine selected sneaker products below or around ₹2,000, trend-led digital creatives and student-focused promotions. Performance could then be evaluated using awareness, engagement, consideration and conversion metrics before scaling.</t>
  </si>
  <si>
    <t>Pilot Hypothesis</t>
  </si>
  <si>
    <t>Increasing the visibility and contemporary presentation of Bata’s affordable sneaker portfolio will improve purchase consideration among price-conscious young consumers.</t>
  </si>
  <si>
    <t>Risks and Mitigation</t>
  </si>
  <si>
    <t>Potential Risk</t>
  </si>
  <si>
    <t>Mitigation</t>
  </si>
  <si>
    <t>Youth positioning could confuse Bata’s existing identity</t>
  </si>
  <si>
    <t>Preserve affordability, quality and comfort as core brand strengths</t>
  </si>
  <si>
    <t>Heavy discounting could reduce perceived value</t>
  </si>
  <si>
    <t>Focus on targeted student/value offers rather than permanent discounts</t>
  </si>
  <si>
    <t>Influencer campaigns may generate views but not purchases</t>
  </si>
  <si>
    <t>Track conversion and purchase metrics, not engagement alone</t>
  </si>
  <si>
    <t>Survey findings may not generalise widely</t>
  </si>
  <si>
    <t>Test with a larger sample and pilot before major investment</t>
  </si>
  <si>
    <t>Trend-focused products may change quickly</t>
  </si>
  <si>
    <t>Use small launches and test-and-learn cycles</t>
  </si>
  <si>
    <t>Final Strategic Recommendation</t>
  </si>
  <si>
    <t>BATA NEXT proposes strengthening the connection between Bata’s existing value proposition and younger consumers through clearer sneaker visibility, more trend-led communication, accessible student-oriented pricing and targeted youth engagement. Rather than replacing Bata’s established identity, the strategy focuses on extending its affordability, quality and reliability into a more contemporary and visible youth proposition.</t>
  </si>
  <si>
    <t xml:space="preserve">Excel Analysis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</si>
</sst>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8" x14ac:knownFonts="1">
    <font>
      <sz val="10"/>
      <color rgb="FF000000"/>
      <name val="Arial"/>
      <scheme val="minor"/>
    </font>
    <font>
      <sz val="10"/>
      <color theme="1"/>
      <name val="Arial"/>
      <scheme val="minor"/>
    </font>
    <font>
      <sz val="10"/>
      <color theme="1"/>
      <name val="Arial"/>
      <family val="2"/>
      <scheme val="minor"/>
    </font>
    <font>
      <sz val="10"/>
      <color rgb="FF000000"/>
      <name val="Arial"/>
      <family val="2"/>
      <scheme val="minor"/>
    </font>
    <font>
      <b/>
      <sz val="10"/>
      <color rgb="FF000000"/>
      <name val="Arial"/>
      <family val="2"/>
      <scheme val="minor"/>
    </font>
    <font>
      <u/>
      <sz val="10"/>
      <color theme="10"/>
      <name val="Arial"/>
      <family val="2"/>
      <scheme val="minor"/>
    </font>
    <font>
      <b/>
      <sz val="13.5"/>
      <color rgb="FF000000"/>
      <name val="Arial"/>
      <family val="2"/>
      <scheme val="minor"/>
    </font>
    <font>
      <b/>
      <sz val="30"/>
      <color rgb="FF000000"/>
      <name val="Arial"/>
      <family val="2"/>
      <scheme val="minor"/>
    </font>
  </fonts>
  <fills count="2">
    <fill>
      <patternFill patternType="none"/>
    </fill>
    <fill>
      <patternFill patternType="gray125"/>
    </fill>
  </fills>
  <borders count="38">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rgb="FF999999"/>
      </top>
      <bottom/>
      <diagonal/>
    </border>
    <border>
      <left/>
      <right/>
      <top style="thin">
        <color indexed="65"/>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97">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164" fontId="1" fillId="0" borderId="0" xfId="0" applyNumberFormat="1" applyFont="1" applyAlignment="1">
      <alignment horizontal="left" vertical="center"/>
    </xf>
    <xf numFmtId="164" fontId="0" fillId="0" borderId="0" xfId="0" applyNumberFormat="1"/>
    <xf numFmtId="0" fontId="3" fillId="0" borderId="0" xfId="0" applyFont="1"/>
    <xf numFmtId="0" fontId="2" fillId="0" borderId="0" xfId="0" applyFont="1" applyAlignment="1">
      <alignment vertical="center"/>
    </xf>
    <xf numFmtId="2" fontId="1" fillId="0" borderId="0" xfId="0" applyNumberFormat="1" applyFont="1" applyAlignment="1">
      <alignment vertical="center"/>
    </xf>
    <xf numFmtId="0" fontId="0" fillId="0" borderId="1" xfId="0" applyBorder="1"/>
    <xf numFmtId="0" fontId="0" fillId="0" borderId="2" xfId="0" applyBorder="1"/>
    <xf numFmtId="0" fontId="0" fillId="0" borderId="3" xfId="0" applyBorder="1"/>
    <xf numFmtId="0" fontId="0" fillId="0" borderId="1" xfId="0" pivotButton="1" applyBorder="1"/>
    <xf numFmtId="0" fontId="0" fillId="0" borderId="8" xfId="0" applyBorder="1"/>
    <xf numFmtId="0" fontId="0" fillId="0" borderId="1" xfId="0" applyBorder="1" applyAlignment="1">
      <alignment horizontal="left"/>
    </xf>
    <xf numFmtId="0" fontId="0" fillId="0" borderId="4" xfId="0" applyBorder="1" applyAlignment="1">
      <alignment horizontal="left"/>
    </xf>
    <xf numFmtId="0" fontId="0" fillId="0" borderId="5" xfId="0" applyBorder="1" applyAlignment="1">
      <alignment horizontal="left"/>
    </xf>
    <xf numFmtId="0" fontId="0" fillId="0" borderId="10" xfId="0" applyBorder="1"/>
    <xf numFmtId="10" fontId="0" fillId="0" borderId="10" xfId="0" applyNumberFormat="1" applyBorder="1"/>
    <xf numFmtId="10" fontId="0" fillId="0" borderId="11" xfId="0" applyNumberFormat="1" applyBorder="1"/>
    <xf numFmtId="10" fontId="0" fillId="0" borderId="12" xfId="0" applyNumberFormat="1" applyBorder="1"/>
    <xf numFmtId="0" fontId="4" fillId="0" borderId="0" xfId="0" applyFont="1"/>
    <xf numFmtId="0" fontId="4" fillId="0" borderId="13" xfId="0" applyFont="1" applyBorder="1"/>
    <xf numFmtId="0" fontId="4" fillId="0" borderId="13" xfId="0" applyFont="1" applyBorder="1" applyAlignment="1">
      <alignment horizontal="center"/>
    </xf>
    <xf numFmtId="0" fontId="0" fillId="0" borderId="17" xfId="0" applyBorder="1"/>
    <xf numFmtId="0" fontId="4" fillId="0" borderId="13" xfId="0" applyFont="1" applyBorder="1" applyAlignment="1">
      <alignment horizontal="center" wrapText="1"/>
    </xf>
    <xf numFmtId="0" fontId="0" fillId="0" borderId="4" xfId="0" applyBorder="1" applyAlignment="1">
      <alignment horizontal="left" wrapText="1"/>
    </xf>
    <xf numFmtId="0" fontId="4" fillId="0" borderId="0" xfId="0" applyFont="1" applyAlignment="1">
      <alignment horizontal="center"/>
    </xf>
    <xf numFmtId="0" fontId="0" fillId="0" borderId="4" xfId="0" applyBorder="1"/>
    <xf numFmtId="0" fontId="0" fillId="0" borderId="5" xfId="0" applyBorder="1"/>
    <xf numFmtId="0" fontId="0" fillId="0" borderId="9" xfId="0" applyBorder="1"/>
    <xf numFmtId="0" fontId="0" fillId="0" borderId="7" xfId="0" applyBorder="1"/>
    <xf numFmtId="0" fontId="0" fillId="0" borderId="6" xfId="0" applyBorder="1"/>
    <xf numFmtId="0" fontId="0" fillId="0" borderId="12" xfId="0" applyBorder="1"/>
    <xf numFmtId="0" fontId="0" fillId="0" borderId="18" xfId="0" applyBorder="1"/>
    <xf numFmtId="0" fontId="4" fillId="0" borderId="13" xfId="0" applyFont="1" applyBorder="1" applyAlignment="1">
      <alignment horizontal="left"/>
    </xf>
    <xf numFmtId="0" fontId="4" fillId="0" borderId="19" xfId="0" applyFont="1" applyBorder="1"/>
    <xf numFmtId="0" fontId="0" fillId="0" borderId="11" xfId="0" applyBorder="1"/>
    <xf numFmtId="0" fontId="3" fillId="0" borderId="0" xfId="0" applyFont="1" applyAlignment="1">
      <alignment horizontal="center" vertical="center" wrapText="1"/>
    </xf>
    <xf numFmtId="0" fontId="4" fillId="0" borderId="22" xfId="0" applyFont="1" applyBorder="1"/>
    <xf numFmtId="0" fontId="4" fillId="0" borderId="13" xfId="0" applyFont="1" applyBorder="1" applyAlignment="1">
      <alignment horizontal="center" vertical="center" wrapText="1"/>
    </xf>
    <xf numFmtId="0" fontId="4" fillId="0" borderId="0" xfId="0" applyFont="1" applyAlignment="1">
      <alignment horizontal="center" vertical="center" wrapText="1"/>
    </xf>
    <xf numFmtId="0" fontId="4" fillId="0" borderId="13" xfId="0" applyFont="1" applyBorder="1" applyAlignment="1">
      <alignment horizontal="center" vertical="center"/>
    </xf>
    <xf numFmtId="0" fontId="4" fillId="0" borderId="0" xfId="0" applyFont="1" applyAlignment="1">
      <alignment vertical="center" wrapText="1"/>
    </xf>
    <xf numFmtId="0" fontId="4" fillId="0" borderId="19" xfId="0" applyFont="1" applyBorder="1" applyAlignment="1">
      <alignment horizontal="center" vertical="center"/>
    </xf>
    <xf numFmtId="0" fontId="3" fillId="0" borderId="19" xfId="0" applyFont="1" applyBorder="1" applyAlignment="1">
      <alignment horizontal="center" vertical="center" wrapText="1"/>
    </xf>
    <xf numFmtId="0" fontId="5" fillId="0" borderId="0" xfId="1" applyAlignment="1">
      <alignment horizontal="center" vertical="center" wrapText="1"/>
    </xf>
    <xf numFmtId="0" fontId="4" fillId="0" borderId="19" xfId="0" applyFont="1" applyBorder="1" applyAlignment="1">
      <alignment horizontal="center" vertical="center" wrapText="1"/>
    </xf>
    <xf numFmtId="0" fontId="4" fillId="0" borderId="29" xfId="0" applyFont="1" applyBorder="1" applyAlignment="1">
      <alignment horizontal="center" vertical="center" wrapText="1"/>
    </xf>
    <xf numFmtId="0" fontId="5" fillId="0" borderId="19" xfId="1" applyBorder="1" applyAlignment="1">
      <alignment horizontal="center" vertical="center" wrapText="1"/>
    </xf>
    <xf numFmtId="0" fontId="3" fillId="0" borderId="19" xfId="0" applyFont="1" applyBorder="1" applyAlignment="1">
      <alignment horizontal="center" vertical="center" wrapText="1"/>
    </xf>
    <xf numFmtId="0" fontId="4" fillId="0" borderId="19" xfId="0" applyFont="1" applyBorder="1" applyAlignment="1">
      <alignment horizontal="center" vertical="center" wrapText="1"/>
    </xf>
    <xf numFmtId="0" fontId="3" fillId="0" borderId="27" xfId="0" applyFont="1" applyBorder="1" applyAlignment="1">
      <alignment horizontal="center" vertical="center" wrapText="1"/>
    </xf>
    <xf numFmtId="0" fontId="0" fillId="0" borderId="23" xfId="0" applyBorder="1" applyAlignment="1">
      <alignment horizontal="center" vertical="center" wrapText="1"/>
    </xf>
    <xf numFmtId="0" fontId="0" fillId="0" borderId="28" xfId="0" applyBorder="1" applyAlignment="1">
      <alignment horizontal="center" vertical="center" wrapText="1"/>
    </xf>
    <xf numFmtId="0" fontId="0" fillId="0" borderId="33" xfId="0" applyBorder="1" applyAlignment="1">
      <alignment horizontal="center" vertical="center" wrapText="1"/>
    </xf>
    <xf numFmtId="0" fontId="0" fillId="0" borderId="0" xfId="0" applyAlignment="1">
      <alignment horizontal="center" vertical="center" wrapText="1"/>
    </xf>
    <xf numFmtId="0" fontId="0" fillId="0" borderId="34" xfId="0" applyBorder="1" applyAlignment="1">
      <alignment horizontal="center" vertical="center" wrapText="1"/>
    </xf>
    <xf numFmtId="0" fontId="0" fillId="0" borderId="35" xfId="0" applyBorder="1" applyAlignment="1">
      <alignment horizontal="center" vertical="center" wrapText="1"/>
    </xf>
    <xf numFmtId="0" fontId="0" fillId="0" borderId="32" xfId="0" applyBorder="1" applyAlignment="1">
      <alignment horizontal="center" vertical="center" wrapText="1"/>
    </xf>
    <xf numFmtId="0" fontId="0" fillId="0" borderId="36" xfId="0" applyBorder="1" applyAlignment="1">
      <alignment horizontal="center" vertical="center" wrapText="1"/>
    </xf>
    <xf numFmtId="0" fontId="4" fillId="0" borderId="25" xfId="0" applyFont="1" applyBorder="1" applyAlignment="1">
      <alignment horizontal="center" vertical="center" wrapText="1"/>
    </xf>
    <xf numFmtId="0" fontId="4" fillId="0" borderId="37"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19" xfId="0" applyFont="1" applyBorder="1" applyAlignment="1">
      <alignment horizontal="center" vertical="center"/>
    </xf>
    <xf numFmtId="0" fontId="7" fillId="0" borderId="19" xfId="0" applyFont="1" applyBorder="1" applyAlignment="1">
      <alignment horizontal="center" wrapText="1"/>
    </xf>
    <xf numFmtId="0" fontId="4" fillId="0" borderId="14" xfId="0" applyFont="1" applyBorder="1" applyAlignment="1">
      <alignment horizontal="center"/>
    </xf>
    <xf numFmtId="0" fontId="4" fillId="0" borderId="15" xfId="0" applyFont="1" applyBorder="1" applyAlignment="1">
      <alignment horizontal="center"/>
    </xf>
    <xf numFmtId="0" fontId="4" fillId="0" borderId="16" xfId="0" applyFont="1" applyBorder="1" applyAlignment="1">
      <alignment horizontal="center"/>
    </xf>
    <xf numFmtId="0" fontId="4" fillId="0" borderId="0" xfId="0" applyFont="1" applyAlignment="1">
      <alignment horizontal="center"/>
    </xf>
    <xf numFmtId="0" fontId="0" fillId="0" borderId="19" xfId="0" applyBorder="1" applyAlignment="1">
      <alignment horizontal="center" vertical="center" wrapText="1"/>
    </xf>
    <xf numFmtId="0" fontId="4" fillId="0" borderId="19" xfId="0" applyFont="1" applyBorder="1" applyAlignment="1">
      <alignment horizontal="center"/>
    </xf>
    <xf numFmtId="0" fontId="3" fillId="0" borderId="19" xfId="0" applyFont="1" applyBorder="1" applyAlignment="1">
      <alignment horizontal="center"/>
    </xf>
    <xf numFmtId="0" fontId="0" fillId="0" borderId="19" xfId="0" applyBorder="1" applyAlignment="1">
      <alignment horizontal="center"/>
    </xf>
    <xf numFmtId="0" fontId="4" fillId="0" borderId="24" xfId="0" applyFont="1" applyBorder="1" applyAlignment="1">
      <alignment horizontal="center"/>
    </xf>
    <xf numFmtId="0" fontId="4" fillId="0" borderId="24" xfId="0" applyFont="1" applyBorder="1" applyAlignment="1">
      <alignment horizontal="center" vertical="center"/>
    </xf>
    <xf numFmtId="0" fontId="4" fillId="0" borderId="27" xfId="0" applyFont="1" applyBorder="1" applyAlignment="1">
      <alignment horizontal="center" vertical="center"/>
    </xf>
    <xf numFmtId="0" fontId="4" fillId="0" borderId="28" xfId="0" applyFont="1" applyBorder="1" applyAlignment="1">
      <alignment horizontal="center" vertical="center"/>
    </xf>
    <xf numFmtId="0" fontId="4" fillId="0" borderId="24" xfId="0" applyFont="1" applyBorder="1" applyAlignment="1">
      <alignment horizontal="center" vertical="center" wrapText="1"/>
    </xf>
    <xf numFmtId="0" fontId="3" fillId="0" borderId="19" xfId="0" applyFont="1" applyBorder="1" applyAlignment="1">
      <alignment horizontal="center" vertical="center"/>
    </xf>
    <xf numFmtId="0" fontId="0" fillId="0" borderId="19" xfId="0" applyBorder="1" applyAlignment="1">
      <alignment horizontal="center" vertical="center"/>
    </xf>
    <xf numFmtId="0" fontId="4" fillId="0" borderId="20" xfId="0" applyFont="1" applyBorder="1" applyAlignment="1">
      <alignment horizontal="center" vertical="center"/>
    </xf>
    <xf numFmtId="0" fontId="4" fillId="0" borderId="21" xfId="0" applyFont="1" applyBorder="1" applyAlignment="1">
      <alignment horizontal="center" vertical="center"/>
    </xf>
    <xf numFmtId="0" fontId="4" fillId="0" borderId="14" xfId="0" applyFont="1" applyBorder="1" applyAlignment="1">
      <alignment horizontal="center" vertical="center"/>
    </xf>
    <xf numFmtId="0" fontId="4" fillId="0" borderId="16" xfId="0" applyFont="1" applyBorder="1" applyAlignment="1">
      <alignment horizontal="center" vertical="center"/>
    </xf>
    <xf numFmtId="0" fontId="6" fillId="0" borderId="30" xfId="0" applyFont="1" applyBorder="1" applyAlignment="1">
      <alignment horizontal="center" vertical="center"/>
    </xf>
    <xf numFmtId="0" fontId="6" fillId="0" borderId="31" xfId="0" applyFont="1" applyBorder="1" applyAlignment="1">
      <alignment horizontal="center" vertical="center"/>
    </xf>
    <xf numFmtId="0" fontId="4" fillId="0" borderId="23" xfId="0" applyFont="1" applyBorder="1" applyAlignment="1">
      <alignment horizontal="center" vertical="center"/>
    </xf>
    <xf numFmtId="0" fontId="3" fillId="0" borderId="19" xfId="0" applyFont="1" applyBorder="1" applyAlignment="1">
      <alignment horizontal="left" vertical="center" wrapText="1"/>
    </xf>
    <xf numFmtId="0" fontId="4" fillId="0" borderId="23" xfId="0" applyFont="1" applyBorder="1" applyAlignment="1">
      <alignment horizontal="center" vertical="center" wrapText="1"/>
    </xf>
    <xf numFmtId="0" fontId="4" fillId="0" borderId="28" xfId="0" applyFont="1" applyBorder="1" applyAlignment="1">
      <alignment horizontal="center" vertical="center" wrapText="1"/>
    </xf>
    <xf numFmtId="0" fontId="4" fillId="0" borderId="35" xfId="0" applyFont="1" applyBorder="1" applyAlignment="1">
      <alignment horizontal="center" vertical="center" wrapText="1"/>
    </xf>
    <xf numFmtId="0" fontId="4" fillId="0" borderId="32" xfId="0" applyFont="1" applyBorder="1" applyAlignment="1">
      <alignment horizontal="center" vertical="center" wrapText="1"/>
    </xf>
    <xf numFmtId="0" fontId="4" fillId="0" borderId="36" xfId="0" applyFont="1" applyBorder="1" applyAlignment="1">
      <alignment horizontal="center" vertical="center" wrapText="1"/>
    </xf>
    <xf numFmtId="0" fontId="4" fillId="0" borderId="27" xfId="0" applyFont="1" applyBorder="1" applyAlignment="1">
      <alignment horizontal="center" vertical="center" wrapText="1"/>
    </xf>
    <xf numFmtId="0" fontId="3" fillId="0" borderId="19" xfId="0" applyFont="1" applyBorder="1" applyAlignment="1">
      <alignment horizontal="left" vertical="top" wrapText="1"/>
    </xf>
    <xf numFmtId="0" fontId="0" fillId="0" borderId="19" xfId="0" applyBorder="1" applyAlignment="1">
      <alignment horizontal="left" vertical="top" wrapText="1"/>
    </xf>
  </cellXfs>
  <cellStyles count="2">
    <cellStyle name="Hyperlink" xfId="1" builtinId="8"/>
    <cellStyle name="Normal" xfId="0" builtinId="0"/>
  </cellStyles>
  <dxfs count="39">
    <dxf>
      <numFmt numFmtId="0" formatCode="General"/>
    </dxf>
    <dxf>
      <alignment wrapText="1"/>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164" formatCode="m/d/yyyy\ h:mm:ss"/>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38"/>
      <tableStyleElement type="headerRow" dxfId="37"/>
      <tableStyleElement type="firstRowStripe" dxfId="36"/>
      <tableStyleElement type="secondRowStripe" dxfId="3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[BATA_NEXT_Business_Analytics_Project.xlsx]Excel_Analysis!PivotTable1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Excel_Analysis!$C$11</c:f>
              <c:strCache>
                <c:ptCount val="1"/>
                <c:pt idx="0">
                  <c:v>Count of Respondents</c:v>
                </c:pt>
              </c:strCache>
            </c:strRef>
          </c:tx>
          <c:spPr>
            <a:solidFill>
              <a:schemeClr val="accent1"/>
            </a:solidFill>
            <a:ln>
              <a:noFill/>
            </a:ln>
            <a:effectLst/>
          </c:spPr>
          <c:invertIfNegative val="0"/>
          <c:cat>
            <c:strRef>
              <c:f>Excel_Analysis!$B$12:$B$15</c:f>
              <c:strCache>
                <c:ptCount val="3"/>
                <c:pt idx="0">
                  <c:v>18-20</c:v>
                </c:pt>
                <c:pt idx="1">
                  <c:v>21-23</c:v>
                </c:pt>
                <c:pt idx="2">
                  <c:v>Other</c:v>
                </c:pt>
              </c:strCache>
            </c:strRef>
          </c:cat>
          <c:val>
            <c:numRef>
              <c:f>Excel_Analysis!$C$12:$C$15</c:f>
              <c:numCache>
                <c:formatCode>General</c:formatCode>
                <c:ptCount val="3"/>
                <c:pt idx="0">
                  <c:v>4</c:v>
                </c:pt>
                <c:pt idx="1">
                  <c:v>9</c:v>
                </c:pt>
                <c:pt idx="2">
                  <c:v>1</c:v>
                </c:pt>
              </c:numCache>
            </c:numRef>
          </c:val>
          <c:extLst>
            <c:ext xmlns:c16="http://schemas.microsoft.com/office/drawing/2014/chart" uri="{C3380CC4-5D6E-409C-BE32-E72D297353CC}">
              <c16:uniqueId val="{00000000-B832-4531-BDD3-291C5B72818A}"/>
            </c:ext>
          </c:extLst>
        </c:ser>
        <c:ser>
          <c:idx val="1"/>
          <c:order val="1"/>
          <c:tx>
            <c:strRef>
              <c:f>Excel_Analysis!$D$11</c:f>
              <c:strCache>
                <c:ptCount val="1"/>
                <c:pt idx="0">
                  <c:v>Percent of Respondents</c:v>
                </c:pt>
              </c:strCache>
            </c:strRef>
          </c:tx>
          <c:spPr>
            <a:solidFill>
              <a:schemeClr val="accent2"/>
            </a:solidFill>
            <a:ln>
              <a:noFill/>
            </a:ln>
            <a:effectLst/>
          </c:spPr>
          <c:invertIfNegative val="0"/>
          <c:cat>
            <c:strRef>
              <c:f>Excel_Analysis!$B$12:$B$15</c:f>
              <c:strCache>
                <c:ptCount val="3"/>
                <c:pt idx="0">
                  <c:v>18-20</c:v>
                </c:pt>
                <c:pt idx="1">
                  <c:v>21-23</c:v>
                </c:pt>
                <c:pt idx="2">
                  <c:v>Other</c:v>
                </c:pt>
              </c:strCache>
            </c:strRef>
          </c:cat>
          <c:val>
            <c:numRef>
              <c:f>Excel_Analysis!$D$12:$D$15</c:f>
              <c:numCache>
                <c:formatCode>0.00%</c:formatCode>
                <c:ptCount val="3"/>
                <c:pt idx="0">
                  <c:v>0.29523809523809524</c:v>
                </c:pt>
                <c:pt idx="1">
                  <c:v>0.59047619047619049</c:v>
                </c:pt>
                <c:pt idx="2">
                  <c:v>0.11428571428571428</c:v>
                </c:pt>
              </c:numCache>
            </c:numRef>
          </c:val>
          <c:extLst>
            <c:ext xmlns:c16="http://schemas.microsoft.com/office/drawing/2014/chart" uri="{C3380CC4-5D6E-409C-BE32-E72D297353CC}">
              <c16:uniqueId val="{00000002-B832-4531-BDD3-291C5B72818A}"/>
            </c:ext>
          </c:extLst>
        </c:ser>
        <c:dLbls>
          <c:showLegendKey val="0"/>
          <c:showVal val="0"/>
          <c:showCatName val="0"/>
          <c:showSerName val="0"/>
          <c:showPercent val="0"/>
          <c:showBubbleSize val="0"/>
        </c:dLbls>
        <c:gapWidth val="219"/>
        <c:axId val="1059364095"/>
        <c:axId val="972395727"/>
      </c:barChart>
      <c:catAx>
        <c:axId val="105936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395727"/>
        <c:crosses val="autoZero"/>
        <c:auto val="1"/>
        <c:lblAlgn val="ctr"/>
        <c:lblOffset val="100"/>
        <c:noMultiLvlLbl val="0"/>
      </c:catAx>
      <c:valAx>
        <c:axId val="972395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364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[BATA_NEXT_Business_Analytics_Project.xlsx]Excel_Analysis!PivotTable2</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Excel_Analysis!$I$11</c:f>
              <c:strCache>
                <c:ptCount val="1"/>
                <c:pt idx="0">
                  <c:v>Total</c:v>
                </c:pt>
              </c:strCache>
            </c:strRef>
          </c:tx>
          <c:spPr>
            <a:solidFill>
              <a:schemeClr val="accent1"/>
            </a:solidFill>
            <a:ln>
              <a:noFill/>
            </a:ln>
            <a:effectLst/>
          </c:spPr>
          <c:invertIfNegative val="0"/>
          <c:cat>
            <c:strRef>
              <c:f>Excel_Analysis!$H$12:$H$15</c:f>
              <c:strCache>
                <c:ptCount val="3"/>
                <c:pt idx="0">
                  <c:v>Other</c:v>
                </c:pt>
                <c:pt idx="1">
                  <c:v>Undergraduate</c:v>
                </c:pt>
                <c:pt idx="2">
                  <c:v>Working Professional</c:v>
                </c:pt>
              </c:strCache>
            </c:strRef>
          </c:cat>
          <c:val>
            <c:numRef>
              <c:f>Excel_Analysis!$I$12:$I$15</c:f>
              <c:numCache>
                <c:formatCode>General</c:formatCode>
                <c:ptCount val="3"/>
                <c:pt idx="0">
                  <c:v>2</c:v>
                </c:pt>
                <c:pt idx="1">
                  <c:v>10</c:v>
                </c:pt>
                <c:pt idx="2">
                  <c:v>2</c:v>
                </c:pt>
              </c:numCache>
            </c:numRef>
          </c:val>
          <c:extLst>
            <c:ext xmlns:c16="http://schemas.microsoft.com/office/drawing/2014/chart" uri="{C3380CC4-5D6E-409C-BE32-E72D297353CC}">
              <c16:uniqueId val="{00000000-17CE-46BD-B40C-F3B7609E98DF}"/>
            </c:ext>
          </c:extLst>
        </c:ser>
        <c:dLbls>
          <c:showLegendKey val="0"/>
          <c:showVal val="0"/>
          <c:showCatName val="0"/>
          <c:showSerName val="0"/>
          <c:showPercent val="0"/>
          <c:showBubbleSize val="0"/>
        </c:dLbls>
        <c:gapWidth val="182"/>
        <c:axId val="1229957567"/>
        <c:axId val="1230778383"/>
      </c:barChart>
      <c:catAx>
        <c:axId val="1229957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778383"/>
        <c:crosses val="autoZero"/>
        <c:auto val="1"/>
        <c:lblAlgn val="ctr"/>
        <c:lblOffset val="100"/>
        <c:noMultiLvlLbl val="0"/>
      </c:catAx>
      <c:valAx>
        <c:axId val="12307783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95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[BATA_NEXT_Business_Analytics_Project.xlsx]Excel_Analysis!PivotTable3</c:name>
    <c:fmtId val="3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Excel_Analysis!$N$11</c:f>
              <c:strCache>
                <c:ptCount val="1"/>
                <c:pt idx="0">
                  <c:v>Total</c:v>
                </c:pt>
              </c:strCache>
            </c:strRef>
          </c:tx>
          <c:spPr>
            <a:solidFill>
              <a:schemeClr val="accent1"/>
            </a:solidFill>
            <a:ln>
              <a:noFill/>
            </a:ln>
            <a:effectLst/>
          </c:spPr>
          <c:invertIfNegative val="0"/>
          <c:cat>
            <c:strRef>
              <c:f>Excel_Analysis!$M$12:$M$16</c:f>
              <c:strCache>
                <c:ptCount val="4"/>
                <c:pt idx="0">
                  <c:v>Below ₹1,000</c:v>
                </c:pt>
                <c:pt idx="1">
                  <c:v>₹1,000–1,999</c:v>
                </c:pt>
                <c:pt idx="2">
                  <c:v>₹2,000–2,999</c:v>
                </c:pt>
                <c:pt idx="3">
                  <c:v>₹5,000+</c:v>
                </c:pt>
              </c:strCache>
            </c:strRef>
          </c:cat>
          <c:val>
            <c:numRef>
              <c:f>Excel_Analysis!$N$12:$N$16</c:f>
              <c:numCache>
                <c:formatCode>General</c:formatCode>
                <c:ptCount val="4"/>
                <c:pt idx="0">
                  <c:v>5</c:v>
                </c:pt>
                <c:pt idx="1">
                  <c:v>5</c:v>
                </c:pt>
                <c:pt idx="2">
                  <c:v>3</c:v>
                </c:pt>
                <c:pt idx="3">
                  <c:v>1</c:v>
                </c:pt>
              </c:numCache>
            </c:numRef>
          </c:val>
          <c:extLst>
            <c:ext xmlns:c16="http://schemas.microsoft.com/office/drawing/2014/chart" uri="{C3380CC4-5D6E-409C-BE32-E72D297353CC}">
              <c16:uniqueId val="{00000000-86E2-4C38-9FBF-6558085ADA02}"/>
            </c:ext>
          </c:extLst>
        </c:ser>
        <c:dLbls>
          <c:showLegendKey val="0"/>
          <c:showVal val="0"/>
          <c:showCatName val="0"/>
          <c:showSerName val="0"/>
          <c:showPercent val="0"/>
          <c:showBubbleSize val="0"/>
        </c:dLbls>
        <c:gapWidth val="219"/>
        <c:overlap val="-27"/>
        <c:axId val="1232493535"/>
        <c:axId val="1230792303"/>
      </c:barChart>
      <c:catAx>
        <c:axId val="123249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792303"/>
        <c:crosses val="autoZero"/>
        <c:auto val="1"/>
        <c:lblAlgn val="ctr"/>
        <c:lblOffset val="100"/>
        <c:noMultiLvlLbl val="0"/>
      </c:catAx>
      <c:valAx>
        <c:axId val="1230792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493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[BATA_NEXT_Business_Analytics_Project.xlsx]Excel_Analysis!PivotTable4</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Excel_Analysis!$C$34</c:f>
              <c:strCache>
                <c:ptCount val="1"/>
                <c:pt idx="0">
                  <c:v>Total</c:v>
                </c:pt>
              </c:strCache>
            </c:strRef>
          </c:tx>
          <c:spPr>
            <a:solidFill>
              <a:schemeClr val="accent1"/>
            </a:solidFill>
            <a:ln>
              <a:noFill/>
            </a:ln>
            <a:effectLst/>
          </c:spPr>
          <c:invertIfNegative val="0"/>
          <c:cat>
            <c:strRef>
              <c:f>Excel_Analysis!$B$35:$B$38</c:f>
              <c:strCache>
                <c:ptCount val="3"/>
                <c:pt idx="0">
                  <c:v>Sports</c:v>
                </c:pt>
                <c:pt idx="1">
                  <c:v>Sneakers</c:v>
                </c:pt>
                <c:pt idx="2">
                  <c:v>Casual</c:v>
                </c:pt>
              </c:strCache>
            </c:strRef>
          </c:cat>
          <c:val>
            <c:numRef>
              <c:f>Excel_Analysis!$C$35:$C$38</c:f>
              <c:numCache>
                <c:formatCode>General</c:formatCode>
                <c:ptCount val="3"/>
                <c:pt idx="0">
                  <c:v>4</c:v>
                </c:pt>
                <c:pt idx="1">
                  <c:v>8</c:v>
                </c:pt>
                <c:pt idx="2">
                  <c:v>2</c:v>
                </c:pt>
              </c:numCache>
            </c:numRef>
          </c:val>
          <c:extLst>
            <c:ext xmlns:c16="http://schemas.microsoft.com/office/drawing/2014/chart" uri="{C3380CC4-5D6E-409C-BE32-E72D297353CC}">
              <c16:uniqueId val="{00000000-E3D4-4621-AAF3-6023CE411856}"/>
            </c:ext>
          </c:extLst>
        </c:ser>
        <c:dLbls>
          <c:showLegendKey val="0"/>
          <c:showVal val="0"/>
          <c:showCatName val="0"/>
          <c:showSerName val="0"/>
          <c:showPercent val="0"/>
          <c:showBubbleSize val="0"/>
        </c:dLbls>
        <c:gapWidth val="182"/>
        <c:axId val="1324933231"/>
        <c:axId val="1230837423"/>
      </c:barChart>
      <c:catAx>
        <c:axId val="1324933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837423"/>
        <c:crosses val="autoZero"/>
        <c:auto val="1"/>
        <c:lblAlgn val="ctr"/>
        <c:lblOffset val="100"/>
        <c:noMultiLvlLbl val="0"/>
      </c:catAx>
      <c:valAx>
        <c:axId val="12308374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933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[BATA_NEXT_Business_Analytics_Project.xlsx]Excel_Analysis!PivotTable5</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Excel_Analysis!$H$33</c:f>
              <c:strCache>
                <c:ptCount val="1"/>
                <c:pt idx="0">
                  <c:v>Count of Respondents</c:v>
                </c:pt>
              </c:strCache>
            </c:strRef>
          </c:tx>
          <c:spPr>
            <a:solidFill>
              <a:schemeClr val="accent1"/>
            </a:solidFill>
            <a:ln>
              <a:noFill/>
            </a:ln>
            <a:effectLst/>
          </c:spPr>
          <c:invertIfNegative val="0"/>
          <c:cat>
            <c:strRef>
              <c:f>Excel_Analysis!$G$34:$G$40</c:f>
              <c:strCache>
                <c:ptCount val="6"/>
                <c:pt idx="0">
                  <c:v>Skechers</c:v>
                </c:pt>
                <c:pt idx="1">
                  <c:v>Red Tape</c:v>
                </c:pt>
                <c:pt idx="2">
                  <c:v>Puma</c:v>
                </c:pt>
                <c:pt idx="3">
                  <c:v>Other</c:v>
                </c:pt>
                <c:pt idx="4">
                  <c:v>Nike</c:v>
                </c:pt>
                <c:pt idx="5">
                  <c:v>Adidas</c:v>
                </c:pt>
              </c:strCache>
            </c:strRef>
          </c:cat>
          <c:val>
            <c:numRef>
              <c:f>Excel_Analysis!$H$34:$H$40</c:f>
              <c:numCache>
                <c:formatCode>General</c:formatCode>
                <c:ptCount val="6"/>
                <c:pt idx="0">
                  <c:v>2</c:v>
                </c:pt>
                <c:pt idx="1">
                  <c:v>4</c:v>
                </c:pt>
                <c:pt idx="2">
                  <c:v>2</c:v>
                </c:pt>
                <c:pt idx="3">
                  <c:v>2</c:v>
                </c:pt>
                <c:pt idx="4">
                  <c:v>3</c:v>
                </c:pt>
                <c:pt idx="5">
                  <c:v>1</c:v>
                </c:pt>
              </c:numCache>
            </c:numRef>
          </c:val>
          <c:extLst>
            <c:ext xmlns:c16="http://schemas.microsoft.com/office/drawing/2014/chart" uri="{C3380CC4-5D6E-409C-BE32-E72D297353CC}">
              <c16:uniqueId val="{00000000-0593-4373-B1F7-DA3549588EED}"/>
            </c:ext>
          </c:extLst>
        </c:ser>
        <c:ser>
          <c:idx val="1"/>
          <c:order val="1"/>
          <c:tx>
            <c:strRef>
              <c:f>Excel_Analysis!$I$33</c:f>
              <c:strCache>
                <c:ptCount val="1"/>
                <c:pt idx="0">
                  <c:v>Sum of Respondent_ID</c:v>
                </c:pt>
              </c:strCache>
            </c:strRef>
          </c:tx>
          <c:spPr>
            <a:solidFill>
              <a:schemeClr val="accent2"/>
            </a:solidFill>
            <a:ln>
              <a:noFill/>
            </a:ln>
            <a:effectLst/>
          </c:spPr>
          <c:invertIfNegative val="0"/>
          <c:cat>
            <c:strRef>
              <c:f>Excel_Analysis!$G$34:$G$40</c:f>
              <c:strCache>
                <c:ptCount val="6"/>
                <c:pt idx="0">
                  <c:v>Skechers</c:v>
                </c:pt>
                <c:pt idx="1">
                  <c:v>Red Tape</c:v>
                </c:pt>
                <c:pt idx="2">
                  <c:v>Puma</c:v>
                </c:pt>
                <c:pt idx="3">
                  <c:v>Other</c:v>
                </c:pt>
                <c:pt idx="4">
                  <c:v>Nike</c:v>
                </c:pt>
                <c:pt idx="5">
                  <c:v>Adidas</c:v>
                </c:pt>
              </c:strCache>
            </c:strRef>
          </c:cat>
          <c:val>
            <c:numRef>
              <c:f>Excel_Analysis!$I$34:$I$40</c:f>
              <c:numCache>
                <c:formatCode>0.00%</c:formatCode>
                <c:ptCount val="6"/>
                <c:pt idx="0">
                  <c:v>0.20952380952380953</c:v>
                </c:pt>
                <c:pt idx="1">
                  <c:v>0.17142857142857143</c:v>
                </c:pt>
                <c:pt idx="2">
                  <c:v>0.20952380952380953</c:v>
                </c:pt>
                <c:pt idx="3">
                  <c:v>0.14285714285714285</c:v>
                </c:pt>
                <c:pt idx="4">
                  <c:v>0.24761904761904763</c:v>
                </c:pt>
                <c:pt idx="5">
                  <c:v>1.9047619047619049E-2</c:v>
                </c:pt>
              </c:numCache>
            </c:numRef>
          </c:val>
          <c:extLst>
            <c:ext xmlns:c16="http://schemas.microsoft.com/office/drawing/2014/chart" uri="{C3380CC4-5D6E-409C-BE32-E72D297353CC}">
              <c16:uniqueId val="{00000001-0593-4373-B1F7-DA3549588EED}"/>
            </c:ext>
          </c:extLst>
        </c:ser>
        <c:dLbls>
          <c:showLegendKey val="0"/>
          <c:showVal val="0"/>
          <c:showCatName val="0"/>
          <c:showSerName val="0"/>
          <c:showPercent val="0"/>
          <c:showBubbleSize val="0"/>
        </c:dLbls>
        <c:gapWidth val="182"/>
        <c:axId val="1233505663"/>
        <c:axId val="1230799983"/>
      </c:barChart>
      <c:catAx>
        <c:axId val="1233505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799983"/>
        <c:crosses val="autoZero"/>
        <c:auto val="1"/>
        <c:lblAlgn val="ctr"/>
        <c:lblOffset val="100"/>
        <c:noMultiLvlLbl val="0"/>
      </c:catAx>
      <c:valAx>
        <c:axId val="12307999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505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[BATA_NEXT_Business_Analytics_Project.xlsx]Excel_Analysis!PivotTable7</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Excel_Analysis!$C$58</c:f>
              <c:strCache>
                <c:ptCount val="1"/>
                <c:pt idx="0">
                  <c:v>Total</c:v>
                </c:pt>
              </c:strCache>
            </c:strRef>
          </c:tx>
          <c:spPr>
            <a:solidFill>
              <a:schemeClr val="accent1"/>
            </a:solidFill>
            <a:ln>
              <a:noFill/>
            </a:ln>
            <a:effectLst/>
          </c:spPr>
          <c:invertIfNegative val="0"/>
          <c:cat>
            <c:strRef>
              <c:f>Excel_Analysis!$B$59:$B$63</c:f>
              <c:strCache>
                <c:ptCount val="4"/>
                <c:pt idx="0">
                  <c:v>Considered but never purchased</c:v>
                </c:pt>
                <c:pt idx="1">
                  <c:v>Never purchased</c:v>
                </c:pt>
                <c:pt idx="2">
                  <c:v>Yes, but long ago</c:v>
                </c:pt>
                <c:pt idx="3">
                  <c:v>Yes, recently</c:v>
                </c:pt>
              </c:strCache>
            </c:strRef>
          </c:cat>
          <c:val>
            <c:numRef>
              <c:f>Excel_Analysis!$C$59:$C$63</c:f>
              <c:numCache>
                <c:formatCode>General</c:formatCode>
                <c:ptCount val="4"/>
                <c:pt idx="0">
                  <c:v>1</c:v>
                </c:pt>
                <c:pt idx="1">
                  <c:v>2</c:v>
                </c:pt>
                <c:pt idx="2">
                  <c:v>9</c:v>
                </c:pt>
                <c:pt idx="3">
                  <c:v>2</c:v>
                </c:pt>
              </c:numCache>
            </c:numRef>
          </c:val>
          <c:extLst>
            <c:ext xmlns:c16="http://schemas.microsoft.com/office/drawing/2014/chart" uri="{C3380CC4-5D6E-409C-BE32-E72D297353CC}">
              <c16:uniqueId val="{00000000-D587-42AE-B278-40D3143B8729}"/>
            </c:ext>
          </c:extLst>
        </c:ser>
        <c:dLbls>
          <c:showLegendKey val="0"/>
          <c:showVal val="0"/>
          <c:showCatName val="0"/>
          <c:showSerName val="0"/>
          <c:showPercent val="0"/>
          <c:showBubbleSize val="0"/>
        </c:dLbls>
        <c:gapWidth val="182"/>
        <c:axId val="1311869775"/>
        <c:axId val="1230816783"/>
      </c:barChart>
      <c:catAx>
        <c:axId val="1311869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816783"/>
        <c:crosses val="autoZero"/>
        <c:auto val="1"/>
        <c:lblAlgn val="ctr"/>
        <c:lblOffset val="100"/>
        <c:noMultiLvlLbl val="0"/>
      </c:catAx>
      <c:valAx>
        <c:axId val="12308167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86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[BATA_NEXT_Business_Analytics_Project.xlsx]Excel_Analysis!PivotTable8</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Excel_Analysis!$I$58</c:f>
              <c:strCache>
                <c:ptCount val="1"/>
                <c:pt idx="0">
                  <c:v>Total</c:v>
                </c:pt>
              </c:strCache>
            </c:strRef>
          </c:tx>
          <c:spPr>
            <a:solidFill>
              <a:schemeClr val="accent1"/>
            </a:solidFill>
            <a:ln>
              <a:noFill/>
            </a:ln>
            <a:effectLst/>
          </c:spPr>
          <c:invertIfNegative val="0"/>
          <c:cat>
            <c:strRef>
              <c:f>Excel_Analysis!$H$59:$H$62</c:f>
              <c:strCache>
                <c:ptCount val="3"/>
                <c:pt idx="0">
                  <c:v>High</c:v>
                </c:pt>
                <c:pt idx="1">
                  <c:v>Low</c:v>
                </c:pt>
                <c:pt idx="2">
                  <c:v>Neutral</c:v>
                </c:pt>
              </c:strCache>
            </c:strRef>
          </c:cat>
          <c:val>
            <c:numRef>
              <c:f>Excel_Analysis!$I$59:$I$62</c:f>
              <c:numCache>
                <c:formatCode>General</c:formatCode>
                <c:ptCount val="3"/>
                <c:pt idx="0">
                  <c:v>6</c:v>
                </c:pt>
                <c:pt idx="1">
                  <c:v>4</c:v>
                </c:pt>
                <c:pt idx="2">
                  <c:v>4</c:v>
                </c:pt>
              </c:numCache>
            </c:numRef>
          </c:val>
          <c:extLst>
            <c:ext xmlns:c16="http://schemas.microsoft.com/office/drawing/2014/chart" uri="{C3380CC4-5D6E-409C-BE32-E72D297353CC}">
              <c16:uniqueId val="{00000000-5010-4CC2-AB4A-786645C630CB}"/>
            </c:ext>
          </c:extLst>
        </c:ser>
        <c:dLbls>
          <c:showLegendKey val="0"/>
          <c:showVal val="0"/>
          <c:showCatName val="0"/>
          <c:showSerName val="0"/>
          <c:showPercent val="0"/>
          <c:showBubbleSize val="0"/>
        </c:dLbls>
        <c:gapWidth val="219"/>
        <c:overlap val="-27"/>
        <c:axId val="1311808527"/>
        <c:axId val="1230750543"/>
      </c:barChart>
      <c:catAx>
        <c:axId val="131180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750543"/>
        <c:crosses val="autoZero"/>
        <c:auto val="1"/>
        <c:lblAlgn val="ctr"/>
        <c:lblOffset val="100"/>
        <c:noMultiLvlLbl val="0"/>
      </c:catAx>
      <c:valAx>
        <c:axId val="1230750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808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[BATA_NEXT_Business_Analytics_Project.xlsx]Excel_Analysis!PivotTable9</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Excel_Analysis!$L$58</c:f>
              <c:strCache>
                <c:ptCount val="1"/>
                <c:pt idx="0">
                  <c:v>Sum of BP_Comfortable</c:v>
                </c:pt>
              </c:strCache>
            </c:strRef>
          </c:tx>
          <c:spPr>
            <a:solidFill>
              <a:schemeClr val="accent1"/>
            </a:solidFill>
            <a:ln>
              <a:noFill/>
            </a:ln>
            <a:effectLst/>
          </c:spPr>
          <c:invertIfNegative val="0"/>
          <c:cat>
            <c:strRef>
              <c:f>Excel_Analysis!$L$59</c:f>
              <c:strCache>
                <c:ptCount val="1"/>
                <c:pt idx="0">
                  <c:v>Total</c:v>
                </c:pt>
              </c:strCache>
            </c:strRef>
          </c:cat>
          <c:val>
            <c:numRef>
              <c:f>Excel_Analysis!$L$59</c:f>
              <c:numCache>
                <c:formatCode>General</c:formatCode>
                <c:ptCount val="1"/>
                <c:pt idx="0">
                  <c:v>4</c:v>
                </c:pt>
              </c:numCache>
            </c:numRef>
          </c:val>
          <c:extLst>
            <c:ext xmlns:c16="http://schemas.microsoft.com/office/drawing/2014/chart" uri="{C3380CC4-5D6E-409C-BE32-E72D297353CC}">
              <c16:uniqueId val="{00000000-12AF-4431-B3BB-866F981C74E8}"/>
            </c:ext>
          </c:extLst>
        </c:ser>
        <c:ser>
          <c:idx val="1"/>
          <c:order val="1"/>
          <c:tx>
            <c:strRef>
              <c:f>Excel_Analysis!$M$58</c:f>
              <c:strCache>
                <c:ptCount val="1"/>
                <c:pt idx="0">
                  <c:v>Sum of BP_Affordable</c:v>
                </c:pt>
              </c:strCache>
            </c:strRef>
          </c:tx>
          <c:spPr>
            <a:solidFill>
              <a:schemeClr val="accent2"/>
            </a:solidFill>
            <a:ln>
              <a:noFill/>
            </a:ln>
            <a:effectLst/>
          </c:spPr>
          <c:invertIfNegative val="0"/>
          <c:cat>
            <c:strRef>
              <c:f>Excel_Analysis!$L$59</c:f>
              <c:strCache>
                <c:ptCount val="1"/>
                <c:pt idx="0">
                  <c:v>Total</c:v>
                </c:pt>
              </c:strCache>
            </c:strRef>
          </c:cat>
          <c:val>
            <c:numRef>
              <c:f>Excel_Analysis!$M$59</c:f>
              <c:numCache>
                <c:formatCode>General</c:formatCode>
                <c:ptCount val="1"/>
                <c:pt idx="0">
                  <c:v>5</c:v>
                </c:pt>
              </c:numCache>
            </c:numRef>
          </c:val>
          <c:extLst>
            <c:ext xmlns:c16="http://schemas.microsoft.com/office/drawing/2014/chart" uri="{C3380CC4-5D6E-409C-BE32-E72D297353CC}">
              <c16:uniqueId val="{00000001-12AF-4431-B3BB-866F981C74E8}"/>
            </c:ext>
          </c:extLst>
        </c:ser>
        <c:ser>
          <c:idx val="2"/>
          <c:order val="2"/>
          <c:tx>
            <c:strRef>
              <c:f>Excel_Analysis!$N$58</c:f>
              <c:strCache>
                <c:ptCount val="1"/>
                <c:pt idx="0">
                  <c:v>Sum of BP_Good_Quality</c:v>
                </c:pt>
              </c:strCache>
            </c:strRef>
          </c:tx>
          <c:spPr>
            <a:solidFill>
              <a:schemeClr val="accent3"/>
            </a:solidFill>
            <a:ln>
              <a:noFill/>
            </a:ln>
            <a:effectLst/>
          </c:spPr>
          <c:invertIfNegative val="0"/>
          <c:cat>
            <c:strRef>
              <c:f>Excel_Analysis!$L$59</c:f>
              <c:strCache>
                <c:ptCount val="1"/>
                <c:pt idx="0">
                  <c:v>Total</c:v>
                </c:pt>
              </c:strCache>
            </c:strRef>
          </c:cat>
          <c:val>
            <c:numRef>
              <c:f>Excel_Analysis!$N$59</c:f>
              <c:numCache>
                <c:formatCode>General</c:formatCode>
                <c:ptCount val="1"/>
                <c:pt idx="0">
                  <c:v>5</c:v>
                </c:pt>
              </c:numCache>
            </c:numRef>
          </c:val>
          <c:extLst>
            <c:ext xmlns:c16="http://schemas.microsoft.com/office/drawing/2014/chart" uri="{C3380CC4-5D6E-409C-BE32-E72D297353CC}">
              <c16:uniqueId val="{00000002-12AF-4431-B3BB-866F981C74E8}"/>
            </c:ext>
          </c:extLst>
        </c:ser>
        <c:ser>
          <c:idx val="3"/>
          <c:order val="3"/>
          <c:tx>
            <c:strRef>
              <c:f>Excel_Analysis!$O$58</c:f>
              <c:strCache>
                <c:ptCount val="1"/>
                <c:pt idx="0">
                  <c:v>Sum of BP_Reliable</c:v>
                </c:pt>
              </c:strCache>
            </c:strRef>
          </c:tx>
          <c:spPr>
            <a:solidFill>
              <a:schemeClr val="accent4"/>
            </a:solidFill>
            <a:ln>
              <a:noFill/>
            </a:ln>
            <a:effectLst/>
          </c:spPr>
          <c:invertIfNegative val="0"/>
          <c:cat>
            <c:strRef>
              <c:f>Excel_Analysis!$L$59</c:f>
              <c:strCache>
                <c:ptCount val="1"/>
                <c:pt idx="0">
                  <c:v>Total</c:v>
                </c:pt>
              </c:strCache>
            </c:strRef>
          </c:cat>
          <c:val>
            <c:numRef>
              <c:f>Excel_Analysis!$O$59</c:f>
              <c:numCache>
                <c:formatCode>General</c:formatCode>
                <c:ptCount val="1"/>
                <c:pt idx="0">
                  <c:v>3</c:v>
                </c:pt>
              </c:numCache>
            </c:numRef>
          </c:val>
          <c:extLst>
            <c:ext xmlns:c16="http://schemas.microsoft.com/office/drawing/2014/chart" uri="{C3380CC4-5D6E-409C-BE32-E72D297353CC}">
              <c16:uniqueId val="{00000003-12AF-4431-B3BB-866F981C74E8}"/>
            </c:ext>
          </c:extLst>
        </c:ser>
        <c:ser>
          <c:idx val="4"/>
          <c:order val="4"/>
          <c:tx>
            <c:strRef>
              <c:f>Excel_Analysis!$P$58</c:f>
              <c:strCache>
                <c:ptCount val="1"/>
                <c:pt idx="0">
                  <c:v>Sum of BP_Stylish</c:v>
                </c:pt>
              </c:strCache>
            </c:strRef>
          </c:tx>
          <c:spPr>
            <a:solidFill>
              <a:schemeClr val="accent5"/>
            </a:solidFill>
            <a:ln>
              <a:noFill/>
            </a:ln>
            <a:effectLst/>
          </c:spPr>
          <c:invertIfNegative val="0"/>
          <c:cat>
            <c:strRef>
              <c:f>Excel_Analysis!$L$59</c:f>
              <c:strCache>
                <c:ptCount val="1"/>
                <c:pt idx="0">
                  <c:v>Total</c:v>
                </c:pt>
              </c:strCache>
            </c:strRef>
          </c:cat>
          <c:val>
            <c:numRef>
              <c:f>Excel_Analysis!$P$59</c:f>
              <c:numCache>
                <c:formatCode>General</c:formatCode>
                <c:ptCount val="1"/>
                <c:pt idx="0">
                  <c:v>1</c:v>
                </c:pt>
              </c:numCache>
            </c:numRef>
          </c:val>
          <c:extLst>
            <c:ext xmlns:c16="http://schemas.microsoft.com/office/drawing/2014/chart" uri="{C3380CC4-5D6E-409C-BE32-E72D297353CC}">
              <c16:uniqueId val="{00000004-12AF-4431-B3BB-866F981C74E8}"/>
            </c:ext>
          </c:extLst>
        </c:ser>
        <c:ser>
          <c:idx val="5"/>
          <c:order val="5"/>
          <c:tx>
            <c:strRef>
              <c:f>Excel_Analysis!$Q$58</c:f>
              <c:strCache>
                <c:ptCount val="1"/>
                <c:pt idx="0">
                  <c:v>Sum of BP_Youth_Friendly</c:v>
                </c:pt>
              </c:strCache>
            </c:strRef>
          </c:tx>
          <c:spPr>
            <a:solidFill>
              <a:schemeClr val="accent6"/>
            </a:solidFill>
            <a:ln>
              <a:noFill/>
            </a:ln>
            <a:effectLst/>
          </c:spPr>
          <c:invertIfNegative val="0"/>
          <c:cat>
            <c:strRef>
              <c:f>Excel_Analysis!$L$59</c:f>
              <c:strCache>
                <c:ptCount val="1"/>
                <c:pt idx="0">
                  <c:v>Total</c:v>
                </c:pt>
              </c:strCache>
            </c:strRef>
          </c:cat>
          <c:val>
            <c:numRef>
              <c:f>Excel_Analysis!$Q$59</c:f>
              <c:numCache>
                <c:formatCode>General</c:formatCode>
                <c:ptCount val="1"/>
                <c:pt idx="0">
                  <c:v>2</c:v>
                </c:pt>
              </c:numCache>
            </c:numRef>
          </c:val>
          <c:extLst>
            <c:ext xmlns:c16="http://schemas.microsoft.com/office/drawing/2014/chart" uri="{C3380CC4-5D6E-409C-BE32-E72D297353CC}">
              <c16:uniqueId val="{00000005-12AF-4431-B3BB-866F981C74E8}"/>
            </c:ext>
          </c:extLst>
        </c:ser>
        <c:ser>
          <c:idx val="6"/>
          <c:order val="6"/>
          <c:tx>
            <c:strRef>
              <c:f>Excel_Analysis!$R$58</c:f>
              <c:strCache>
                <c:ptCount val="1"/>
                <c:pt idx="0">
                  <c:v>Sum of BP_Traditional</c:v>
                </c:pt>
              </c:strCache>
            </c:strRef>
          </c:tx>
          <c:spPr>
            <a:solidFill>
              <a:schemeClr val="accent1">
                <a:lumMod val="60000"/>
              </a:schemeClr>
            </a:solidFill>
            <a:ln>
              <a:noFill/>
            </a:ln>
            <a:effectLst/>
          </c:spPr>
          <c:invertIfNegative val="0"/>
          <c:cat>
            <c:strRef>
              <c:f>Excel_Analysis!$L$59</c:f>
              <c:strCache>
                <c:ptCount val="1"/>
                <c:pt idx="0">
                  <c:v>Total</c:v>
                </c:pt>
              </c:strCache>
            </c:strRef>
          </c:cat>
          <c:val>
            <c:numRef>
              <c:f>Excel_Analysis!$R$59</c:f>
              <c:numCache>
                <c:formatCode>General</c:formatCode>
                <c:ptCount val="1"/>
                <c:pt idx="0">
                  <c:v>0</c:v>
                </c:pt>
              </c:numCache>
            </c:numRef>
          </c:val>
          <c:extLst>
            <c:ext xmlns:c16="http://schemas.microsoft.com/office/drawing/2014/chart" uri="{C3380CC4-5D6E-409C-BE32-E72D297353CC}">
              <c16:uniqueId val="{00000006-12AF-4431-B3BB-866F981C74E8}"/>
            </c:ext>
          </c:extLst>
        </c:ser>
        <c:ser>
          <c:idx val="7"/>
          <c:order val="7"/>
          <c:tx>
            <c:strRef>
              <c:f>Excel_Analysis!$S$58</c:f>
              <c:strCache>
                <c:ptCount val="1"/>
                <c:pt idx="0">
                  <c:v>Sum of BP_Trendy</c:v>
                </c:pt>
              </c:strCache>
            </c:strRef>
          </c:tx>
          <c:spPr>
            <a:solidFill>
              <a:schemeClr val="accent2">
                <a:lumMod val="60000"/>
              </a:schemeClr>
            </a:solidFill>
            <a:ln>
              <a:noFill/>
            </a:ln>
            <a:effectLst/>
          </c:spPr>
          <c:invertIfNegative val="0"/>
          <c:cat>
            <c:strRef>
              <c:f>Excel_Analysis!$L$59</c:f>
              <c:strCache>
                <c:ptCount val="1"/>
                <c:pt idx="0">
                  <c:v>Total</c:v>
                </c:pt>
              </c:strCache>
            </c:strRef>
          </c:cat>
          <c:val>
            <c:numRef>
              <c:f>Excel_Analysis!$S$59</c:f>
              <c:numCache>
                <c:formatCode>General</c:formatCode>
                <c:ptCount val="1"/>
                <c:pt idx="0">
                  <c:v>0</c:v>
                </c:pt>
              </c:numCache>
            </c:numRef>
          </c:val>
          <c:extLst>
            <c:ext xmlns:c16="http://schemas.microsoft.com/office/drawing/2014/chart" uri="{C3380CC4-5D6E-409C-BE32-E72D297353CC}">
              <c16:uniqueId val="{00000007-12AF-4431-B3BB-866F981C74E8}"/>
            </c:ext>
          </c:extLst>
        </c:ser>
        <c:ser>
          <c:idx val="8"/>
          <c:order val="8"/>
          <c:tx>
            <c:strRef>
              <c:f>Excel_Analysis!$T$58</c:f>
              <c:strCache>
                <c:ptCount val="1"/>
                <c:pt idx="0">
                  <c:v>Sum of BP_Easily_Available</c:v>
                </c:pt>
              </c:strCache>
            </c:strRef>
          </c:tx>
          <c:spPr>
            <a:solidFill>
              <a:schemeClr val="accent3">
                <a:lumMod val="60000"/>
              </a:schemeClr>
            </a:solidFill>
            <a:ln>
              <a:noFill/>
            </a:ln>
            <a:effectLst/>
          </c:spPr>
          <c:invertIfNegative val="0"/>
          <c:cat>
            <c:strRef>
              <c:f>Excel_Analysis!$L$59</c:f>
              <c:strCache>
                <c:ptCount val="1"/>
                <c:pt idx="0">
                  <c:v>Total</c:v>
                </c:pt>
              </c:strCache>
            </c:strRef>
          </c:cat>
          <c:val>
            <c:numRef>
              <c:f>Excel_Analysis!$T$59</c:f>
              <c:numCache>
                <c:formatCode>General</c:formatCode>
                <c:ptCount val="1"/>
                <c:pt idx="0">
                  <c:v>2</c:v>
                </c:pt>
              </c:numCache>
            </c:numRef>
          </c:val>
          <c:extLst>
            <c:ext xmlns:c16="http://schemas.microsoft.com/office/drawing/2014/chart" uri="{C3380CC4-5D6E-409C-BE32-E72D297353CC}">
              <c16:uniqueId val="{00000008-12AF-4431-B3BB-866F981C74E8}"/>
            </c:ext>
          </c:extLst>
        </c:ser>
        <c:ser>
          <c:idx val="9"/>
          <c:order val="9"/>
          <c:tx>
            <c:strRef>
              <c:f>Excel_Analysis!$U$58</c:f>
              <c:strCache>
                <c:ptCount val="1"/>
                <c:pt idx="0">
                  <c:v>Sum of BP_Not_Sure</c:v>
                </c:pt>
              </c:strCache>
            </c:strRef>
          </c:tx>
          <c:spPr>
            <a:solidFill>
              <a:schemeClr val="accent4">
                <a:lumMod val="60000"/>
              </a:schemeClr>
            </a:solidFill>
            <a:ln>
              <a:noFill/>
            </a:ln>
            <a:effectLst/>
          </c:spPr>
          <c:invertIfNegative val="0"/>
          <c:cat>
            <c:strRef>
              <c:f>Excel_Analysis!$L$59</c:f>
              <c:strCache>
                <c:ptCount val="1"/>
                <c:pt idx="0">
                  <c:v>Total</c:v>
                </c:pt>
              </c:strCache>
            </c:strRef>
          </c:cat>
          <c:val>
            <c:numRef>
              <c:f>Excel_Analysis!$U$59</c:f>
              <c:numCache>
                <c:formatCode>General</c:formatCode>
                <c:ptCount val="1"/>
                <c:pt idx="0">
                  <c:v>2</c:v>
                </c:pt>
              </c:numCache>
            </c:numRef>
          </c:val>
          <c:extLst>
            <c:ext xmlns:c16="http://schemas.microsoft.com/office/drawing/2014/chart" uri="{C3380CC4-5D6E-409C-BE32-E72D297353CC}">
              <c16:uniqueId val="{00000009-12AF-4431-B3BB-866F981C74E8}"/>
            </c:ext>
          </c:extLst>
        </c:ser>
        <c:dLbls>
          <c:showLegendKey val="0"/>
          <c:showVal val="0"/>
          <c:showCatName val="0"/>
          <c:showSerName val="0"/>
          <c:showPercent val="0"/>
          <c:showBubbleSize val="0"/>
        </c:dLbls>
        <c:gapWidth val="182"/>
        <c:axId val="1233481071"/>
        <c:axId val="1230741423"/>
      </c:barChart>
      <c:catAx>
        <c:axId val="1233481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741423"/>
        <c:crosses val="autoZero"/>
        <c:auto val="1"/>
        <c:lblAlgn val="ctr"/>
        <c:lblOffset val="100"/>
        <c:noMultiLvlLbl val="0"/>
      </c:catAx>
      <c:valAx>
        <c:axId val="12307414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481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[BATA_NEXT_Business_Analytics_Project.xlsx]Excel_Analysis!PivotTable10</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Excel_Analysis!$C$82</c:f>
              <c:strCache>
                <c:ptCount val="1"/>
                <c:pt idx="0">
                  <c:v>Total</c:v>
                </c:pt>
              </c:strCache>
            </c:strRef>
          </c:tx>
          <c:spPr>
            <a:solidFill>
              <a:schemeClr val="accent1"/>
            </a:solidFill>
            <a:ln>
              <a:noFill/>
            </a:ln>
            <a:effectLst/>
          </c:spPr>
          <c:invertIfNegative val="0"/>
          <c:cat>
            <c:strRef>
              <c:f>Excel_Analysis!$B$83:$B$90</c:f>
              <c:strCache>
                <c:ptCount val="7"/>
                <c:pt idx="0">
                  <c:v>Brand image</c:v>
                </c:pt>
                <c:pt idx="1">
                  <c:v>Designs don't match my taste</c:v>
                </c:pt>
                <c:pt idx="2">
                  <c:v>Don't know enough about newer products</c:v>
                </c:pt>
                <c:pt idx="3">
                  <c:v>Not trendy enough</c:v>
                </c:pt>
                <c:pt idx="4">
                  <c:v>Nothing</c:v>
                </c:pt>
                <c:pt idx="5">
                  <c:v>Other</c:v>
                </c:pt>
                <c:pt idx="6">
                  <c:v>Prefer Other brands</c:v>
                </c:pt>
              </c:strCache>
            </c:strRef>
          </c:cat>
          <c:val>
            <c:numRef>
              <c:f>Excel_Analysis!$C$83:$C$90</c:f>
              <c:numCache>
                <c:formatCode>General</c:formatCode>
                <c:ptCount val="7"/>
                <c:pt idx="0">
                  <c:v>1</c:v>
                </c:pt>
                <c:pt idx="1">
                  <c:v>3</c:v>
                </c:pt>
                <c:pt idx="2">
                  <c:v>2</c:v>
                </c:pt>
                <c:pt idx="3">
                  <c:v>4</c:v>
                </c:pt>
                <c:pt idx="4">
                  <c:v>1</c:v>
                </c:pt>
                <c:pt idx="5">
                  <c:v>1</c:v>
                </c:pt>
                <c:pt idx="6">
                  <c:v>2</c:v>
                </c:pt>
              </c:numCache>
            </c:numRef>
          </c:val>
          <c:extLst>
            <c:ext xmlns:c16="http://schemas.microsoft.com/office/drawing/2014/chart" uri="{C3380CC4-5D6E-409C-BE32-E72D297353CC}">
              <c16:uniqueId val="{00000000-2DF1-4FF7-B8D3-848146A0E4B6}"/>
            </c:ext>
          </c:extLst>
        </c:ser>
        <c:dLbls>
          <c:showLegendKey val="0"/>
          <c:showVal val="0"/>
          <c:showCatName val="0"/>
          <c:showSerName val="0"/>
          <c:showPercent val="0"/>
          <c:showBubbleSize val="0"/>
        </c:dLbls>
        <c:gapWidth val="182"/>
        <c:axId val="1308381103"/>
        <c:axId val="1230797583"/>
      </c:barChart>
      <c:catAx>
        <c:axId val="1308381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797583"/>
        <c:crosses val="autoZero"/>
        <c:auto val="1"/>
        <c:lblAlgn val="ctr"/>
        <c:lblOffset val="100"/>
        <c:noMultiLvlLbl val="0"/>
      </c:catAx>
      <c:valAx>
        <c:axId val="12307975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381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[BATA_NEXT_Business_Analytics_Project.xlsx]Excel_Analysis!PivotTable11</c:name>
    <c:fmtId val="2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Excel_Analysis!$G$82</c:f>
              <c:strCache>
                <c:ptCount val="1"/>
                <c:pt idx="0">
                  <c:v>Sum of DI_Trendier_Designs</c:v>
                </c:pt>
              </c:strCache>
            </c:strRef>
          </c:tx>
          <c:spPr>
            <a:solidFill>
              <a:schemeClr val="accent1"/>
            </a:solidFill>
            <a:ln>
              <a:noFill/>
            </a:ln>
            <a:effectLst/>
          </c:spPr>
          <c:invertIfNegative val="0"/>
          <c:cat>
            <c:strRef>
              <c:f>Excel_Analysis!$G$83</c:f>
              <c:strCache>
                <c:ptCount val="1"/>
                <c:pt idx="0">
                  <c:v>Total</c:v>
                </c:pt>
              </c:strCache>
            </c:strRef>
          </c:cat>
          <c:val>
            <c:numRef>
              <c:f>Excel_Analysis!$G$83</c:f>
              <c:numCache>
                <c:formatCode>General</c:formatCode>
                <c:ptCount val="1"/>
                <c:pt idx="0">
                  <c:v>5</c:v>
                </c:pt>
              </c:numCache>
            </c:numRef>
          </c:val>
          <c:extLst>
            <c:ext xmlns:c16="http://schemas.microsoft.com/office/drawing/2014/chart" uri="{C3380CC4-5D6E-409C-BE32-E72D297353CC}">
              <c16:uniqueId val="{00000000-2C42-4547-8059-7EC4DF50E0EA}"/>
            </c:ext>
          </c:extLst>
        </c:ser>
        <c:ser>
          <c:idx val="1"/>
          <c:order val="1"/>
          <c:tx>
            <c:strRef>
              <c:f>Excel_Analysis!$H$82</c:f>
              <c:strCache>
                <c:ptCount val="1"/>
                <c:pt idx="0">
                  <c:v>Sum of DI_More_Sneakers</c:v>
                </c:pt>
              </c:strCache>
            </c:strRef>
          </c:tx>
          <c:spPr>
            <a:solidFill>
              <a:schemeClr val="accent2"/>
            </a:solidFill>
            <a:ln>
              <a:noFill/>
            </a:ln>
            <a:effectLst/>
          </c:spPr>
          <c:invertIfNegative val="0"/>
          <c:cat>
            <c:strRef>
              <c:f>Excel_Analysis!$G$83</c:f>
              <c:strCache>
                <c:ptCount val="1"/>
                <c:pt idx="0">
                  <c:v>Total</c:v>
                </c:pt>
              </c:strCache>
            </c:strRef>
          </c:cat>
          <c:val>
            <c:numRef>
              <c:f>Excel_Analysis!$H$83</c:f>
              <c:numCache>
                <c:formatCode>General</c:formatCode>
                <c:ptCount val="1"/>
                <c:pt idx="0">
                  <c:v>6</c:v>
                </c:pt>
              </c:numCache>
            </c:numRef>
          </c:val>
          <c:extLst>
            <c:ext xmlns:c16="http://schemas.microsoft.com/office/drawing/2014/chart" uri="{C3380CC4-5D6E-409C-BE32-E72D297353CC}">
              <c16:uniqueId val="{00000001-2C42-4547-8059-7EC4DF50E0EA}"/>
            </c:ext>
          </c:extLst>
        </c:ser>
        <c:ser>
          <c:idx val="2"/>
          <c:order val="2"/>
          <c:tx>
            <c:strRef>
              <c:f>Excel_Analysis!$I$82</c:f>
              <c:strCache>
                <c:ptCount val="1"/>
                <c:pt idx="0">
                  <c:v>Sum of DI_Student_Friendly_Pricing</c:v>
                </c:pt>
              </c:strCache>
            </c:strRef>
          </c:tx>
          <c:spPr>
            <a:solidFill>
              <a:schemeClr val="accent3"/>
            </a:solidFill>
            <a:ln>
              <a:noFill/>
            </a:ln>
            <a:effectLst/>
          </c:spPr>
          <c:invertIfNegative val="0"/>
          <c:cat>
            <c:strRef>
              <c:f>Excel_Analysis!$G$83</c:f>
              <c:strCache>
                <c:ptCount val="1"/>
                <c:pt idx="0">
                  <c:v>Total</c:v>
                </c:pt>
              </c:strCache>
            </c:strRef>
          </c:cat>
          <c:val>
            <c:numRef>
              <c:f>Excel_Analysis!$I$83</c:f>
              <c:numCache>
                <c:formatCode>General</c:formatCode>
                <c:ptCount val="1"/>
                <c:pt idx="0">
                  <c:v>5</c:v>
                </c:pt>
              </c:numCache>
            </c:numRef>
          </c:val>
          <c:extLst>
            <c:ext xmlns:c16="http://schemas.microsoft.com/office/drawing/2014/chart" uri="{C3380CC4-5D6E-409C-BE32-E72D297353CC}">
              <c16:uniqueId val="{00000002-2C42-4547-8059-7EC4DF50E0EA}"/>
            </c:ext>
          </c:extLst>
        </c:ser>
        <c:ser>
          <c:idx val="3"/>
          <c:order val="3"/>
          <c:tx>
            <c:strRef>
              <c:f>Excel_Analysis!$J$82</c:f>
              <c:strCache>
                <c:ptCount val="1"/>
                <c:pt idx="0">
                  <c:v>Sum of DI_Influencer_Collab</c:v>
                </c:pt>
              </c:strCache>
            </c:strRef>
          </c:tx>
          <c:spPr>
            <a:solidFill>
              <a:schemeClr val="accent4"/>
            </a:solidFill>
            <a:ln>
              <a:noFill/>
            </a:ln>
            <a:effectLst/>
          </c:spPr>
          <c:invertIfNegative val="0"/>
          <c:cat>
            <c:strRef>
              <c:f>Excel_Analysis!$G$83</c:f>
              <c:strCache>
                <c:ptCount val="1"/>
                <c:pt idx="0">
                  <c:v>Total</c:v>
                </c:pt>
              </c:strCache>
            </c:strRef>
          </c:cat>
          <c:val>
            <c:numRef>
              <c:f>Excel_Analysis!$J$83</c:f>
              <c:numCache>
                <c:formatCode>General</c:formatCode>
                <c:ptCount val="1"/>
                <c:pt idx="0">
                  <c:v>2</c:v>
                </c:pt>
              </c:numCache>
            </c:numRef>
          </c:val>
          <c:extLst>
            <c:ext xmlns:c16="http://schemas.microsoft.com/office/drawing/2014/chart" uri="{C3380CC4-5D6E-409C-BE32-E72D297353CC}">
              <c16:uniqueId val="{00000003-2C42-4547-8059-7EC4DF50E0EA}"/>
            </c:ext>
          </c:extLst>
        </c:ser>
        <c:ser>
          <c:idx val="4"/>
          <c:order val="4"/>
          <c:tx>
            <c:strRef>
              <c:f>Excel_Analysis!$K$82</c:f>
              <c:strCache>
                <c:ptCount val="1"/>
                <c:pt idx="0">
                  <c:v>Sum of DI_Better_Social_Media</c:v>
                </c:pt>
              </c:strCache>
            </c:strRef>
          </c:tx>
          <c:spPr>
            <a:solidFill>
              <a:schemeClr val="accent5"/>
            </a:solidFill>
            <a:ln>
              <a:noFill/>
            </a:ln>
            <a:effectLst/>
          </c:spPr>
          <c:invertIfNegative val="0"/>
          <c:cat>
            <c:strRef>
              <c:f>Excel_Analysis!$G$83</c:f>
              <c:strCache>
                <c:ptCount val="1"/>
                <c:pt idx="0">
                  <c:v>Total</c:v>
                </c:pt>
              </c:strCache>
            </c:strRef>
          </c:cat>
          <c:val>
            <c:numRef>
              <c:f>Excel_Analysis!$K$83</c:f>
              <c:numCache>
                <c:formatCode>General</c:formatCode>
                <c:ptCount val="1"/>
                <c:pt idx="0">
                  <c:v>2</c:v>
                </c:pt>
              </c:numCache>
            </c:numRef>
          </c:val>
          <c:extLst>
            <c:ext xmlns:c16="http://schemas.microsoft.com/office/drawing/2014/chart" uri="{C3380CC4-5D6E-409C-BE32-E72D297353CC}">
              <c16:uniqueId val="{00000004-2C42-4547-8059-7EC4DF50E0EA}"/>
            </c:ext>
          </c:extLst>
        </c:ser>
        <c:ser>
          <c:idx val="5"/>
          <c:order val="5"/>
          <c:tx>
            <c:strRef>
              <c:f>Excel_Analysis!$L$82</c:f>
              <c:strCache>
                <c:ptCount val="1"/>
                <c:pt idx="0">
                  <c:v>Sum of DI_Limited_Edition</c:v>
                </c:pt>
              </c:strCache>
            </c:strRef>
          </c:tx>
          <c:spPr>
            <a:solidFill>
              <a:schemeClr val="accent6"/>
            </a:solidFill>
            <a:ln>
              <a:noFill/>
            </a:ln>
            <a:effectLst/>
          </c:spPr>
          <c:invertIfNegative val="0"/>
          <c:cat>
            <c:strRef>
              <c:f>Excel_Analysis!$G$83</c:f>
              <c:strCache>
                <c:ptCount val="1"/>
                <c:pt idx="0">
                  <c:v>Total</c:v>
                </c:pt>
              </c:strCache>
            </c:strRef>
          </c:cat>
          <c:val>
            <c:numRef>
              <c:f>Excel_Analysis!$L$83</c:f>
              <c:numCache>
                <c:formatCode>General</c:formatCode>
                <c:ptCount val="1"/>
                <c:pt idx="0">
                  <c:v>1</c:v>
                </c:pt>
              </c:numCache>
            </c:numRef>
          </c:val>
          <c:extLst>
            <c:ext xmlns:c16="http://schemas.microsoft.com/office/drawing/2014/chart" uri="{C3380CC4-5D6E-409C-BE32-E72D297353CC}">
              <c16:uniqueId val="{00000005-2C42-4547-8059-7EC4DF50E0EA}"/>
            </c:ext>
          </c:extLst>
        </c:ser>
        <c:ser>
          <c:idx val="6"/>
          <c:order val="6"/>
          <c:tx>
            <c:strRef>
              <c:f>Excel_Analysis!$M$82</c:f>
              <c:strCache>
                <c:ptCount val="1"/>
                <c:pt idx="0">
                  <c:v>Sum of DI_Better_Online</c:v>
                </c:pt>
              </c:strCache>
            </c:strRef>
          </c:tx>
          <c:spPr>
            <a:solidFill>
              <a:schemeClr val="accent1">
                <a:lumMod val="60000"/>
              </a:schemeClr>
            </a:solidFill>
            <a:ln>
              <a:noFill/>
            </a:ln>
            <a:effectLst/>
          </c:spPr>
          <c:invertIfNegative val="0"/>
          <c:cat>
            <c:strRef>
              <c:f>Excel_Analysis!$G$83</c:f>
              <c:strCache>
                <c:ptCount val="1"/>
                <c:pt idx="0">
                  <c:v>Total</c:v>
                </c:pt>
              </c:strCache>
            </c:strRef>
          </c:cat>
          <c:val>
            <c:numRef>
              <c:f>Excel_Analysis!$M$83</c:f>
              <c:numCache>
                <c:formatCode>General</c:formatCode>
                <c:ptCount val="1"/>
                <c:pt idx="0">
                  <c:v>0</c:v>
                </c:pt>
              </c:numCache>
            </c:numRef>
          </c:val>
          <c:extLst>
            <c:ext xmlns:c16="http://schemas.microsoft.com/office/drawing/2014/chart" uri="{C3380CC4-5D6E-409C-BE32-E72D297353CC}">
              <c16:uniqueId val="{00000006-2C42-4547-8059-7EC4DF50E0EA}"/>
            </c:ext>
          </c:extLst>
        </c:ser>
        <c:ser>
          <c:idx val="7"/>
          <c:order val="7"/>
          <c:tx>
            <c:strRef>
              <c:f>Excel_Analysis!$N$82</c:f>
              <c:strCache>
                <c:ptCount val="1"/>
                <c:pt idx="0">
                  <c:v>Sum of DI_Loyalty_Rewards</c:v>
                </c:pt>
              </c:strCache>
            </c:strRef>
          </c:tx>
          <c:spPr>
            <a:solidFill>
              <a:schemeClr val="accent2">
                <a:lumMod val="60000"/>
              </a:schemeClr>
            </a:solidFill>
            <a:ln>
              <a:noFill/>
            </a:ln>
            <a:effectLst/>
          </c:spPr>
          <c:invertIfNegative val="0"/>
          <c:cat>
            <c:strRef>
              <c:f>Excel_Analysis!$G$83</c:f>
              <c:strCache>
                <c:ptCount val="1"/>
                <c:pt idx="0">
                  <c:v>Total</c:v>
                </c:pt>
              </c:strCache>
            </c:strRef>
          </c:cat>
          <c:val>
            <c:numRef>
              <c:f>Excel_Analysis!$N$83</c:f>
              <c:numCache>
                <c:formatCode>General</c:formatCode>
                <c:ptCount val="1"/>
                <c:pt idx="0">
                  <c:v>2</c:v>
                </c:pt>
              </c:numCache>
            </c:numRef>
          </c:val>
          <c:extLst>
            <c:ext xmlns:c16="http://schemas.microsoft.com/office/drawing/2014/chart" uri="{C3380CC4-5D6E-409C-BE32-E72D297353CC}">
              <c16:uniqueId val="{00000007-2C42-4547-8059-7EC4DF50E0EA}"/>
            </c:ext>
          </c:extLst>
        </c:ser>
        <c:dLbls>
          <c:showLegendKey val="0"/>
          <c:showVal val="0"/>
          <c:showCatName val="0"/>
          <c:showSerName val="0"/>
          <c:showPercent val="0"/>
          <c:showBubbleSize val="0"/>
        </c:dLbls>
        <c:gapWidth val="182"/>
        <c:axId val="255198352"/>
        <c:axId val="1939822416"/>
      </c:barChart>
      <c:catAx>
        <c:axId val="255198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822416"/>
        <c:crosses val="autoZero"/>
        <c:auto val="1"/>
        <c:lblAlgn val="ctr"/>
        <c:lblOffset val="100"/>
        <c:noMultiLvlLbl val="0"/>
      </c:catAx>
      <c:valAx>
        <c:axId val="1939822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198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91440</xdr:colOff>
      <xdr:row>16</xdr:row>
      <xdr:rowOff>19050</xdr:rowOff>
    </xdr:from>
    <xdr:to>
      <xdr:col>3</xdr:col>
      <xdr:colOff>1295400</xdr:colOff>
      <xdr:row>27</xdr:row>
      <xdr:rowOff>106680</xdr:rowOff>
    </xdr:to>
    <xdr:graphicFrame macro="">
      <xdr:nvGraphicFramePr>
        <xdr:cNvPr id="2" name="Chart 1">
          <a:extLst>
            <a:ext uri="{FF2B5EF4-FFF2-40B4-BE49-F238E27FC236}">
              <a16:creationId xmlns:a16="http://schemas.microsoft.com/office/drawing/2014/main" id="{1FF03DAB-8B1A-E523-FC49-96065A8F23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152400</xdr:colOff>
      <xdr:row>16</xdr:row>
      <xdr:rowOff>22860</xdr:rowOff>
    </xdr:from>
    <xdr:to>
      <xdr:col>9</xdr:col>
      <xdr:colOff>998220</xdr:colOff>
      <xdr:row>27</xdr:row>
      <xdr:rowOff>38100</xdr:rowOff>
    </xdr:to>
    <xdr:graphicFrame macro="">
      <xdr:nvGraphicFramePr>
        <xdr:cNvPr id="3" name="Chart 2">
          <a:extLst>
            <a:ext uri="{FF2B5EF4-FFF2-40B4-BE49-F238E27FC236}">
              <a16:creationId xmlns:a16="http://schemas.microsoft.com/office/drawing/2014/main" id="{EF6FFF9B-329C-74CD-D21A-FD3871AB55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xdr:colOff>
      <xdr:row>17</xdr:row>
      <xdr:rowOff>10026</xdr:rowOff>
    </xdr:from>
    <xdr:to>
      <xdr:col>15</xdr:col>
      <xdr:colOff>40106</xdr:colOff>
      <xdr:row>28</xdr:row>
      <xdr:rowOff>130342</xdr:rowOff>
    </xdr:to>
    <xdr:graphicFrame macro="">
      <xdr:nvGraphicFramePr>
        <xdr:cNvPr id="4" name="Chart 3">
          <a:extLst>
            <a:ext uri="{FF2B5EF4-FFF2-40B4-BE49-F238E27FC236}">
              <a16:creationId xmlns:a16="http://schemas.microsoft.com/office/drawing/2014/main" id="{11C8C0BF-9FDB-305E-800B-5D6432062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210552</xdr:colOff>
      <xdr:row>39</xdr:row>
      <xdr:rowOff>20053</xdr:rowOff>
    </xdr:from>
    <xdr:to>
      <xdr:col>3</xdr:col>
      <xdr:colOff>1173080</xdr:colOff>
      <xdr:row>49</xdr:row>
      <xdr:rowOff>140368</xdr:rowOff>
    </xdr:to>
    <xdr:graphicFrame macro="">
      <xdr:nvGraphicFramePr>
        <xdr:cNvPr id="5" name="Chart 4">
          <a:extLst>
            <a:ext uri="{FF2B5EF4-FFF2-40B4-BE49-F238E27FC236}">
              <a16:creationId xmlns:a16="http://schemas.microsoft.com/office/drawing/2014/main" id="{ABFDDA0F-1382-419B-91F1-B63C996485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170448</xdr:colOff>
      <xdr:row>41</xdr:row>
      <xdr:rowOff>2005</xdr:rowOff>
    </xdr:from>
    <xdr:to>
      <xdr:col>9</xdr:col>
      <xdr:colOff>1112921</xdr:colOff>
      <xdr:row>53</xdr:row>
      <xdr:rowOff>90236</xdr:rowOff>
    </xdr:to>
    <xdr:graphicFrame macro="">
      <xdr:nvGraphicFramePr>
        <xdr:cNvPr id="6" name="Chart 5">
          <a:extLst>
            <a:ext uri="{FF2B5EF4-FFF2-40B4-BE49-F238E27FC236}">
              <a16:creationId xmlns:a16="http://schemas.microsoft.com/office/drawing/2014/main" id="{288FEC53-5C82-4F26-85B4-3D5BA0E6C4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591552</xdr:colOff>
      <xdr:row>64</xdr:row>
      <xdr:rowOff>2005</xdr:rowOff>
    </xdr:from>
    <xdr:to>
      <xdr:col>3</xdr:col>
      <xdr:colOff>711868</xdr:colOff>
      <xdr:row>74</xdr:row>
      <xdr:rowOff>160421</xdr:rowOff>
    </xdr:to>
    <xdr:graphicFrame macro="">
      <xdr:nvGraphicFramePr>
        <xdr:cNvPr id="7" name="Chart 6">
          <a:extLst>
            <a:ext uri="{FF2B5EF4-FFF2-40B4-BE49-F238E27FC236}">
              <a16:creationId xmlns:a16="http://schemas.microsoft.com/office/drawing/2014/main" id="{AAF84774-6E45-259F-5FEF-E18D6FEA58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260685</xdr:colOff>
      <xdr:row>63</xdr:row>
      <xdr:rowOff>32084</xdr:rowOff>
    </xdr:from>
    <xdr:to>
      <xdr:col>9</xdr:col>
      <xdr:colOff>882316</xdr:colOff>
      <xdr:row>76</xdr:row>
      <xdr:rowOff>120316</xdr:rowOff>
    </xdr:to>
    <xdr:graphicFrame macro="">
      <xdr:nvGraphicFramePr>
        <xdr:cNvPr id="8" name="Chart 7">
          <a:extLst>
            <a:ext uri="{FF2B5EF4-FFF2-40B4-BE49-F238E27FC236}">
              <a16:creationId xmlns:a16="http://schemas.microsoft.com/office/drawing/2014/main" id="{59FC93DB-3080-FF86-BEA7-0338330A4F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772025</xdr:colOff>
      <xdr:row>60</xdr:row>
      <xdr:rowOff>32084</xdr:rowOff>
    </xdr:from>
    <xdr:to>
      <xdr:col>19</xdr:col>
      <xdr:colOff>120314</xdr:colOff>
      <xdr:row>77</xdr:row>
      <xdr:rowOff>1</xdr:rowOff>
    </xdr:to>
    <xdr:graphicFrame macro="">
      <xdr:nvGraphicFramePr>
        <xdr:cNvPr id="9" name="Chart 8">
          <a:extLst>
            <a:ext uri="{FF2B5EF4-FFF2-40B4-BE49-F238E27FC236}">
              <a16:creationId xmlns:a16="http://schemas.microsoft.com/office/drawing/2014/main" id="{4E928B08-D42D-BF9D-F700-6707DA50D4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120316</xdr:colOff>
      <xdr:row>91</xdr:row>
      <xdr:rowOff>62163</xdr:rowOff>
    </xdr:from>
    <xdr:to>
      <xdr:col>3</xdr:col>
      <xdr:colOff>1032711</xdr:colOff>
      <xdr:row>105</xdr:row>
      <xdr:rowOff>90237</xdr:rowOff>
    </xdr:to>
    <xdr:graphicFrame macro="">
      <xdr:nvGraphicFramePr>
        <xdr:cNvPr id="10" name="Chart 9">
          <a:extLst>
            <a:ext uri="{FF2B5EF4-FFF2-40B4-BE49-F238E27FC236}">
              <a16:creationId xmlns:a16="http://schemas.microsoft.com/office/drawing/2014/main" id="{9D5B23CC-427C-B206-2451-977D9C80E4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746857</xdr:colOff>
      <xdr:row>84</xdr:row>
      <xdr:rowOff>37610</xdr:rowOff>
    </xdr:from>
    <xdr:to>
      <xdr:col>11</xdr:col>
      <xdr:colOff>1590704</xdr:colOff>
      <xdr:row>98</xdr:row>
      <xdr:rowOff>165946</xdr:rowOff>
    </xdr:to>
    <xdr:graphicFrame macro="">
      <xdr:nvGraphicFramePr>
        <xdr:cNvPr id="11" name="Chart 10">
          <a:extLst>
            <a:ext uri="{FF2B5EF4-FFF2-40B4-BE49-F238E27FC236}">
              <a16:creationId xmlns:a16="http://schemas.microsoft.com/office/drawing/2014/main" id="{786A0519-DE02-A842-D58C-BDCB7A74A8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ni Sethi" refreshedDate="46297.617635185183" createdVersion="8" refreshedVersion="8" minRefreshableVersion="3" recordCount="14" xr:uid="{6441F6C4-E6EC-442A-B8D1-ABA3EBA73F2C}">
  <cacheSource type="worksheet">
    <worksheetSource name="Form_Responses3"/>
  </cacheSource>
  <cacheFields count="45">
    <cacheField name="Timestamp" numFmtId="164">
      <sharedItems containsSemiMixedTypes="0" containsNonDate="0" containsDate="1" containsString="0" minDate="2026-09-21T00:06:17" maxDate="2026-09-21T20:58:18"/>
    </cacheField>
    <cacheField name="Age_Group" numFmtId="0">
      <sharedItems count="3">
        <s v="21-23"/>
        <s v="18-20"/>
        <s v="Other"/>
      </sharedItems>
    </cacheField>
    <cacheField name="Current_Status" numFmtId="0">
      <sharedItems count="3">
        <s v="Undergraduate"/>
        <s v="Other"/>
        <s v="Working Professional"/>
      </sharedItems>
    </cacheField>
    <cacheField name="Spending_Range" numFmtId="0">
      <sharedItems count="4">
        <s v="Below ₹1,000"/>
        <s v="₹5,000+"/>
        <s v="₹1,000–1,999"/>
        <s v="₹2,000–2,999"/>
      </sharedItems>
    </cacheField>
    <cacheField name="Footwear_Type" numFmtId="0">
      <sharedItems count="3">
        <s v="Sneakers"/>
        <s v="Casual"/>
        <s v="Sports"/>
      </sharedItems>
    </cacheField>
    <cacheField name="Purchase_Factors" numFmtId="0">
      <sharedItems/>
    </cacheField>
    <cacheField name="First_Choice_Brand" numFmtId="0">
      <sharedItems count="6">
        <s v="Other"/>
        <s v="Adidas"/>
        <s v="Red Tape"/>
        <s v="Nike"/>
        <s v="Puma"/>
        <s v="Skechers"/>
      </sharedItems>
    </cacheField>
    <cacheField name="Bata_Purchase_History" numFmtId="0">
      <sharedItems count="4">
        <s v="Yes, recently"/>
        <s v="Yes, but long ago"/>
        <s v="Never purchased"/>
        <s v="Considered but never purchased"/>
      </sharedItems>
    </cacheField>
    <cacheField name="Bata_Perception" numFmtId="0">
      <sharedItems/>
    </cacheField>
    <cacheField name="Purchase_Likelihood" numFmtId="2">
      <sharedItems containsSemiMixedTypes="0" containsString="0" containsNumber="1" containsInteger="1" minValue="1" maxValue="4"/>
    </cacheField>
    <cacheField name="Purchase_Barrier" numFmtId="0">
      <sharedItems count="7">
        <s v="Brand image"/>
        <s v="Designs don't match my taste"/>
        <s v="Prefer Other brands"/>
        <s v="Not trendy enough"/>
        <s v="Nothing"/>
        <s v="Don't know enough about newer products"/>
        <s v="Other"/>
      </sharedItems>
    </cacheField>
    <cacheField name="Desired_Improvement" numFmtId="0">
      <sharedItems/>
    </cacheField>
    <cacheField name="Open_Feedback" numFmtId="0">
      <sharedItems/>
    </cacheField>
    <cacheField name="PF_Comfort" numFmtId="0">
      <sharedItems containsSemiMixedTypes="0" containsString="0" containsNumber="1" containsInteger="1" minValue="0" maxValue="1"/>
    </cacheField>
    <cacheField name="PF_Price" numFmtId="0">
      <sharedItems containsSemiMixedTypes="0" containsString="0" containsNumber="1" containsInteger="1" minValue="0" maxValue="1"/>
    </cacheField>
    <cacheField name="PF_Style" numFmtId="0">
      <sharedItems containsSemiMixedTypes="0" containsString="0" containsNumber="1" containsInteger="1" minValue="0" maxValue="1"/>
    </cacheField>
    <cacheField name="PF_Quality" numFmtId="0">
      <sharedItems containsSemiMixedTypes="0" containsString="0" containsNumber="1" containsInteger="1" minValue="0" maxValue="1"/>
    </cacheField>
    <cacheField name="PF_Durability" numFmtId="0">
      <sharedItems containsSemiMixedTypes="0" containsString="0" containsNumber="1" containsInteger="1" minValue="0" maxValue="0"/>
    </cacheField>
    <cacheField name="PF_Brand" numFmtId="0">
      <sharedItems containsSemiMixedTypes="0" containsString="0" containsNumber="1" containsInteger="1" minValue="0" maxValue="1"/>
    </cacheField>
    <cacheField name="PF_Discounts" numFmtId="0">
      <sharedItems containsSemiMixedTypes="0" containsString="0" containsNumber="1" containsInteger="1" minValue="0" maxValue="0"/>
    </cacheField>
    <cacheField name="PF_Reviews" numFmtId="0">
      <sharedItems containsSemiMixedTypes="0" containsString="0" containsNumber="1" containsInteger="1" minValue="0" maxValue="0"/>
    </cacheField>
    <cacheField name="PF_Latest_Trends" numFmtId="0">
      <sharedItems containsSemiMixedTypes="0" containsString="0" containsNumber="1" containsInteger="1" minValue="0" maxValue="1"/>
    </cacheField>
    <cacheField name="BP_Comfortable" numFmtId="0">
      <sharedItems containsSemiMixedTypes="0" containsString="0" containsNumber="1" containsInteger="1" minValue="0" maxValue="1"/>
    </cacheField>
    <cacheField name="BP_Affordable" numFmtId="0">
      <sharedItems containsSemiMixedTypes="0" containsString="0" containsNumber="1" containsInteger="1" minValue="0" maxValue="1"/>
    </cacheField>
    <cacheField name="BP_Reliable" numFmtId="0">
      <sharedItems containsSemiMixedTypes="0" containsString="0" containsNumber="1" containsInteger="1" minValue="0" maxValue="1"/>
    </cacheField>
    <cacheField name="BP_Good_Quality" numFmtId="0">
      <sharedItems containsSemiMixedTypes="0" containsString="0" containsNumber="1" containsInteger="1" minValue="0" maxValue="1"/>
    </cacheField>
    <cacheField name="BP_Stylish" numFmtId="0">
      <sharedItems containsSemiMixedTypes="0" containsString="0" containsNumber="1" containsInteger="1" minValue="0" maxValue="1"/>
    </cacheField>
    <cacheField name="BP_Trendy" numFmtId="0">
      <sharedItems containsSemiMixedTypes="0" containsString="0" containsNumber="1" containsInteger="1" minValue="0" maxValue="0"/>
    </cacheField>
    <cacheField name="BP_Traditional" numFmtId="0">
      <sharedItems containsSemiMixedTypes="0" containsString="0" containsNumber="1" containsInteger="1" minValue="0" maxValue="0"/>
    </cacheField>
    <cacheField name="BP_Youth_Friendly" numFmtId="0">
      <sharedItems containsSemiMixedTypes="0" containsString="0" containsNumber="1" containsInteger="1" minValue="0" maxValue="1"/>
    </cacheField>
    <cacheField name="BP_Easily_Available" numFmtId="0">
      <sharedItems containsSemiMixedTypes="0" containsString="0" containsNumber="1" containsInteger="1" minValue="0" maxValue="1"/>
    </cacheField>
    <cacheField name="BP_Not_Sure" numFmtId="0">
      <sharedItems containsSemiMixedTypes="0" containsString="0" containsNumber="1" containsInteger="1" minValue="0" maxValue="1"/>
    </cacheField>
    <cacheField name="Bata_Ever_Purchased" numFmtId="0">
      <sharedItems count="2">
        <s v="Yes"/>
        <s v="No"/>
      </sharedItems>
    </cacheField>
    <cacheField name="Purchase_Intent_Group" numFmtId="0">
      <sharedItems count="3">
        <s v="Low"/>
        <s v="Neutral"/>
        <s v="High"/>
      </sharedItems>
    </cacheField>
    <cacheField name="Spending_Score" numFmtId="0">
      <sharedItems containsMixedTypes="1" containsNumber="1" containsInteger="1" minValue="1" maxValue="1"/>
    </cacheField>
    <cacheField name="Selections_Count" numFmtId="0">
      <sharedItems containsSemiMixedTypes="0" containsString="0" containsNumber="1" containsInteger="1" minValue="1" maxValue="4"/>
    </cacheField>
    <cacheField name="Respondent_ID" numFmtId="0">
      <sharedItems containsSemiMixedTypes="0" containsString="0" containsNumber="1" containsInteger="1" minValue="1" maxValue="14"/>
    </cacheField>
    <cacheField name="DI_Trendier_Designs" numFmtId="0">
      <sharedItems containsSemiMixedTypes="0" containsString="0" containsNumber="1" containsInteger="1" minValue="0" maxValue="1"/>
    </cacheField>
    <cacheField name="DI_More_Sneakers" numFmtId="0">
      <sharedItems containsSemiMixedTypes="0" containsString="0" containsNumber="1" containsInteger="1" minValue="0" maxValue="1"/>
    </cacheField>
    <cacheField name="DI_Student_Friendly_Pricing" numFmtId="0">
      <sharedItems containsSemiMixedTypes="0" containsString="0" containsNumber="1" containsInteger="1" minValue="0" maxValue="1"/>
    </cacheField>
    <cacheField name="DI_Influencer_Collab" numFmtId="0">
      <sharedItems containsSemiMixedTypes="0" containsString="0" containsNumber="1" containsInteger="1" minValue="0" maxValue="1"/>
    </cacheField>
    <cacheField name="DI_Better_Social_Media" numFmtId="0">
      <sharedItems containsSemiMixedTypes="0" containsString="0" containsNumber="1" containsInteger="1" minValue="0" maxValue="1"/>
    </cacheField>
    <cacheField name="DI_Limited_Edition" numFmtId="0">
      <sharedItems containsSemiMixedTypes="0" containsString="0" containsNumber="1" containsInteger="1" minValue="0" maxValue="1"/>
    </cacheField>
    <cacheField name="DI_Better_Online" numFmtId="0">
      <sharedItems containsSemiMixedTypes="0" containsString="0" containsNumber="1" containsInteger="1" minValue="0" maxValue="0"/>
    </cacheField>
    <cacheField name="DI_Loyalty_Rewards"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d v="2026-09-21T15:45:50"/>
    <x v="0"/>
    <x v="0"/>
    <x v="0"/>
    <x v="0"/>
    <s v="Comfort"/>
    <x v="0"/>
    <x v="0"/>
    <s v="Reliable"/>
    <n v="1"/>
    <x v="0"/>
    <s v="More sneakers, Loyalty rewards"/>
    <s v="No actionable response"/>
    <n v="1"/>
    <n v="0"/>
    <n v="0"/>
    <n v="0"/>
    <n v="0"/>
    <n v="0"/>
    <n v="0"/>
    <n v="0"/>
    <n v="0"/>
    <n v="0"/>
    <n v="0"/>
    <n v="1"/>
    <n v="0"/>
    <n v="0"/>
    <n v="0"/>
    <n v="0"/>
    <n v="0"/>
    <n v="0"/>
    <n v="0"/>
    <x v="0"/>
    <x v="0"/>
    <n v="1"/>
    <n v="1"/>
    <n v="1"/>
    <n v="0"/>
    <n v="1"/>
    <n v="0"/>
    <n v="0"/>
    <n v="0"/>
    <n v="0"/>
    <n v="0"/>
    <n v="1"/>
  </r>
  <r>
    <d v="2026-09-21T20:58:18"/>
    <x v="0"/>
    <x v="1"/>
    <x v="1"/>
    <x v="0"/>
    <s v="Comfort, Style, Quality, Latest Trends"/>
    <x v="1"/>
    <x v="1"/>
    <s v="Affordable"/>
    <n v="1"/>
    <x v="1"/>
    <s v="Trendier Designs"/>
    <s v="Better and trending designs with comfort"/>
    <n v="1"/>
    <n v="0"/>
    <n v="1"/>
    <n v="1"/>
    <n v="0"/>
    <n v="0"/>
    <n v="0"/>
    <n v="0"/>
    <n v="1"/>
    <n v="0"/>
    <n v="1"/>
    <n v="0"/>
    <n v="0"/>
    <n v="0"/>
    <n v="0"/>
    <n v="0"/>
    <n v="0"/>
    <n v="0"/>
    <n v="0"/>
    <x v="0"/>
    <x v="0"/>
    <s v=""/>
    <n v="4"/>
    <n v="2"/>
    <n v="1"/>
    <n v="0"/>
    <n v="0"/>
    <n v="0"/>
    <n v="0"/>
    <n v="0"/>
    <n v="0"/>
    <n v="0"/>
  </r>
  <r>
    <d v="2026-09-21T02:40:38"/>
    <x v="0"/>
    <x v="0"/>
    <x v="2"/>
    <x v="1"/>
    <s v="Comfort"/>
    <x v="2"/>
    <x v="1"/>
    <s v="Affordable, Good Quality, Easily available"/>
    <n v="2"/>
    <x v="2"/>
    <s v="Trendier Designs, More sneakers"/>
    <s v="Design"/>
    <n v="1"/>
    <n v="0"/>
    <n v="0"/>
    <n v="0"/>
    <n v="0"/>
    <n v="0"/>
    <n v="0"/>
    <n v="0"/>
    <n v="0"/>
    <n v="0"/>
    <n v="1"/>
    <n v="0"/>
    <n v="1"/>
    <n v="0"/>
    <n v="0"/>
    <n v="0"/>
    <n v="0"/>
    <n v="1"/>
    <n v="0"/>
    <x v="0"/>
    <x v="0"/>
    <s v=""/>
    <n v="1"/>
    <n v="3"/>
    <n v="1"/>
    <n v="1"/>
    <n v="0"/>
    <n v="0"/>
    <n v="0"/>
    <n v="0"/>
    <n v="0"/>
    <n v="0"/>
  </r>
  <r>
    <d v="2026-09-21T19:29:46"/>
    <x v="0"/>
    <x v="0"/>
    <x v="2"/>
    <x v="2"/>
    <s v="Brand"/>
    <x v="2"/>
    <x v="1"/>
    <s v="Affordable"/>
    <n v="2"/>
    <x v="3"/>
    <s v="Trendier Designs"/>
    <s v="Make more abstract designs that attract youth"/>
    <n v="0"/>
    <n v="0"/>
    <n v="0"/>
    <n v="0"/>
    <n v="0"/>
    <n v="1"/>
    <n v="0"/>
    <n v="0"/>
    <n v="0"/>
    <n v="0"/>
    <n v="1"/>
    <n v="0"/>
    <n v="0"/>
    <n v="0"/>
    <n v="0"/>
    <n v="0"/>
    <n v="0"/>
    <n v="0"/>
    <n v="0"/>
    <x v="0"/>
    <x v="0"/>
    <s v=""/>
    <n v="1"/>
    <n v="4"/>
    <n v="1"/>
    <n v="0"/>
    <n v="0"/>
    <n v="0"/>
    <n v="0"/>
    <n v="0"/>
    <n v="0"/>
    <n v="0"/>
  </r>
  <r>
    <d v="2026-09-21T00:19:15"/>
    <x v="1"/>
    <x v="0"/>
    <x v="0"/>
    <x v="0"/>
    <s v="Comfort"/>
    <x v="2"/>
    <x v="2"/>
    <s v="Not sure"/>
    <n v="3"/>
    <x v="4"/>
    <s v="More sneakers"/>
    <s v="Collaborate with popular youth icons or influencers."/>
    <n v="1"/>
    <n v="0"/>
    <n v="0"/>
    <n v="0"/>
    <n v="0"/>
    <n v="0"/>
    <n v="0"/>
    <n v="0"/>
    <n v="0"/>
    <n v="0"/>
    <n v="0"/>
    <n v="0"/>
    <n v="0"/>
    <n v="0"/>
    <n v="0"/>
    <n v="0"/>
    <n v="0"/>
    <n v="0"/>
    <n v="1"/>
    <x v="1"/>
    <x v="1"/>
    <n v="1"/>
    <n v="1"/>
    <n v="5"/>
    <n v="0"/>
    <n v="1"/>
    <n v="0"/>
    <n v="0"/>
    <n v="0"/>
    <n v="0"/>
    <n v="0"/>
    <n v="0"/>
  </r>
  <r>
    <d v="2026-09-21T00:23:00"/>
    <x v="0"/>
    <x v="0"/>
    <x v="0"/>
    <x v="2"/>
    <s v="Comfort"/>
    <x v="2"/>
    <x v="2"/>
    <s v="Reliable"/>
    <n v="3"/>
    <x v="5"/>
    <s v="Student friendly prices"/>
    <s v="Expand their trendy sneaker lineup."/>
    <n v="1"/>
    <n v="0"/>
    <n v="0"/>
    <n v="0"/>
    <n v="0"/>
    <n v="0"/>
    <n v="0"/>
    <n v="0"/>
    <n v="0"/>
    <n v="0"/>
    <n v="0"/>
    <n v="1"/>
    <n v="0"/>
    <n v="0"/>
    <n v="0"/>
    <n v="0"/>
    <n v="0"/>
    <n v="0"/>
    <n v="0"/>
    <x v="1"/>
    <x v="1"/>
    <n v="1"/>
    <n v="1"/>
    <n v="6"/>
    <n v="0"/>
    <n v="0"/>
    <n v="1"/>
    <n v="0"/>
    <n v="0"/>
    <n v="0"/>
    <n v="0"/>
    <n v="0"/>
  </r>
  <r>
    <d v="2026-09-21T16:18:57"/>
    <x v="1"/>
    <x v="0"/>
    <x v="0"/>
    <x v="2"/>
    <s v="Quality"/>
    <x v="3"/>
    <x v="1"/>
    <s v="Youth friendly, Not sure"/>
    <n v="3"/>
    <x v="6"/>
    <s v="More sneakers"/>
    <s v="No actionable response"/>
    <n v="0"/>
    <n v="0"/>
    <n v="0"/>
    <n v="1"/>
    <n v="0"/>
    <n v="0"/>
    <n v="0"/>
    <n v="0"/>
    <n v="0"/>
    <n v="0"/>
    <n v="0"/>
    <n v="0"/>
    <n v="0"/>
    <n v="0"/>
    <n v="0"/>
    <n v="0"/>
    <n v="1"/>
    <n v="0"/>
    <n v="1"/>
    <x v="0"/>
    <x v="1"/>
    <n v="1"/>
    <n v="1"/>
    <n v="7"/>
    <n v="0"/>
    <n v="1"/>
    <n v="0"/>
    <n v="0"/>
    <n v="0"/>
    <n v="0"/>
    <n v="0"/>
    <n v="0"/>
  </r>
  <r>
    <d v="2026-09-21T17:10:59"/>
    <x v="1"/>
    <x v="0"/>
    <x v="3"/>
    <x v="0"/>
    <s v="Comfort"/>
    <x v="3"/>
    <x v="1"/>
    <s v="Comfortable, Reliable, Good Quality"/>
    <n v="3"/>
    <x v="1"/>
    <s v="Trendier Designs, More sneakers, Influencer collaborations"/>
    <s v="Advertising"/>
    <n v="1"/>
    <n v="0"/>
    <n v="0"/>
    <n v="0"/>
    <n v="0"/>
    <n v="0"/>
    <n v="0"/>
    <n v="0"/>
    <n v="0"/>
    <n v="1"/>
    <n v="0"/>
    <n v="1"/>
    <n v="1"/>
    <n v="0"/>
    <n v="0"/>
    <n v="0"/>
    <n v="0"/>
    <n v="0"/>
    <n v="0"/>
    <x v="0"/>
    <x v="1"/>
    <s v=""/>
    <n v="1"/>
    <n v="8"/>
    <n v="1"/>
    <n v="1"/>
    <n v="0"/>
    <n v="1"/>
    <n v="0"/>
    <n v="0"/>
    <n v="0"/>
    <n v="0"/>
  </r>
  <r>
    <d v="2026-09-21T00:06:17"/>
    <x v="0"/>
    <x v="2"/>
    <x v="0"/>
    <x v="1"/>
    <s v="Comfort"/>
    <x v="4"/>
    <x v="1"/>
    <s v="Comfortable, Affordable, Good Quality"/>
    <n v="4"/>
    <x v="3"/>
    <s v="Trendier Designs, Student friendly prices, Influencer collaborations, Better social media"/>
    <s v="Latest designs, comfort, good pricing."/>
    <n v="1"/>
    <n v="0"/>
    <n v="0"/>
    <n v="0"/>
    <n v="0"/>
    <n v="0"/>
    <n v="0"/>
    <n v="0"/>
    <n v="0"/>
    <n v="1"/>
    <n v="1"/>
    <n v="0"/>
    <n v="1"/>
    <n v="0"/>
    <n v="0"/>
    <n v="0"/>
    <n v="0"/>
    <n v="0"/>
    <n v="0"/>
    <x v="0"/>
    <x v="2"/>
    <n v="1"/>
    <n v="1"/>
    <n v="9"/>
    <n v="1"/>
    <n v="0"/>
    <n v="1"/>
    <n v="1"/>
    <n v="1"/>
    <n v="0"/>
    <n v="0"/>
    <n v="0"/>
  </r>
  <r>
    <d v="2026-09-21T00:24:30"/>
    <x v="0"/>
    <x v="0"/>
    <x v="2"/>
    <x v="2"/>
    <s v="Comfort"/>
    <x v="5"/>
    <x v="3"/>
    <s v="Comfortable, Stylish"/>
    <n v="4"/>
    <x v="2"/>
    <s v="More sneakers, Student friendly prices"/>
    <s v="Launch modern streetwear and sneaker collaborations to appeal to younger audiences."/>
    <n v="1"/>
    <n v="0"/>
    <n v="0"/>
    <n v="0"/>
    <n v="0"/>
    <n v="0"/>
    <n v="0"/>
    <n v="0"/>
    <n v="0"/>
    <n v="1"/>
    <n v="0"/>
    <n v="0"/>
    <n v="0"/>
    <n v="1"/>
    <n v="0"/>
    <n v="0"/>
    <n v="0"/>
    <n v="0"/>
    <n v="0"/>
    <x v="1"/>
    <x v="2"/>
    <s v=""/>
    <n v="1"/>
    <n v="10"/>
    <n v="0"/>
    <n v="1"/>
    <n v="1"/>
    <n v="0"/>
    <n v="0"/>
    <n v="0"/>
    <n v="0"/>
    <n v="0"/>
  </r>
  <r>
    <d v="2026-09-21T15:33:15"/>
    <x v="1"/>
    <x v="0"/>
    <x v="2"/>
    <x v="0"/>
    <s v="Style"/>
    <x v="3"/>
    <x v="1"/>
    <s v="Comfortable, Affordable, Good Quality"/>
    <n v="4"/>
    <x v="5"/>
    <s v="Student friendly prices, Better social media"/>
    <s v="More gens inclined designs"/>
    <n v="0"/>
    <n v="0"/>
    <n v="1"/>
    <n v="0"/>
    <n v="0"/>
    <n v="0"/>
    <n v="0"/>
    <n v="0"/>
    <n v="0"/>
    <n v="1"/>
    <n v="1"/>
    <n v="0"/>
    <n v="1"/>
    <n v="0"/>
    <n v="0"/>
    <n v="0"/>
    <n v="0"/>
    <n v="0"/>
    <n v="0"/>
    <x v="0"/>
    <x v="2"/>
    <s v=""/>
    <n v="1"/>
    <n v="11"/>
    <n v="0"/>
    <n v="0"/>
    <n v="1"/>
    <n v="0"/>
    <n v="1"/>
    <n v="0"/>
    <n v="0"/>
    <n v="0"/>
  </r>
  <r>
    <d v="2026-09-21T18:07:18"/>
    <x v="2"/>
    <x v="1"/>
    <x v="2"/>
    <x v="0"/>
    <s v="Comfort"/>
    <x v="5"/>
    <x v="0"/>
    <s v="Good Quality"/>
    <n v="4"/>
    <x v="3"/>
    <s v="Loyalty rewards"/>
    <s v="Comfort with style"/>
    <n v="1"/>
    <n v="0"/>
    <n v="0"/>
    <n v="0"/>
    <n v="0"/>
    <n v="0"/>
    <n v="0"/>
    <n v="0"/>
    <n v="0"/>
    <n v="0"/>
    <n v="0"/>
    <n v="0"/>
    <n v="1"/>
    <n v="0"/>
    <n v="0"/>
    <n v="0"/>
    <n v="0"/>
    <n v="0"/>
    <n v="0"/>
    <x v="0"/>
    <x v="2"/>
    <s v=""/>
    <n v="1"/>
    <n v="12"/>
    <n v="0"/>
    <n v="0"/>
    <n v="0"/>
    <n v="0"/>
    <n v="0"/>
    <n v="0"/>
    <n v="0"/>
    <n v="1"/>
  </r>
  <r>
    <d v="2026-09-21T18:26:36"/>
    <x v="0"/>
    <x v="2"/>
    <x v="3"/>
    <x v="0"/>
    <s v="Quality"/>
    <x v="4"/>
    <x v="1"/>
    <s v="Youth friendly"/>
    <n v="4"/>
    <x v="1"/>
    <s v="Student friendly prices"/>
    <s v="Trending design"/>
    <n v="0"/>
    <n v="0"/>
    <n v="0"/>
    <n v="1"/>
    <n v="0"/>
    <n v="0"/>
    <n v="0"/>
    <n v="0"/>
    <n v="0"/>
    <n v="0"/>
    <n v="0"/>
    <n v="0"/>
    <n v="0"/>
    <n v="0"/>
    <n v="0"/>
    <n v="0"/>
    <n v="1"/>
    <n v="0"/>
    <n v="0"/>
    <x v="0"/>
    <x v="2"/>
    <s v=""/>
    <n v="1"/>
    <n v="13"/>
    <n v="0"/>
    <n v="0"/>
    <n v="1"/>
    <n v="0"/>
    <n v="0"/>
    <n v="0"/>
    <n v="0"/>
    <n v="0"/>
  </r>
  <r>
    <d v="2026-09-21T19:56:04"/>
    <x v="0"/>
    <x v="0"/>
    <x v="3"/>
    <x v="0"/>
    <s v="Comfort, Price, Style"/>
    <x v="0"/>
    <x v="1"/>
    <s v="Easily available"/>
    <n v="4"/>
    <x v="3"/>
    <s v="Limited-edited collections"/>
    <s v="I guess style is."/>
    <n v="1"/>
    <n v="1"/>
    <n v="1"/>
    <n v="0"/>
    <n v="0"/>
    <n v="0"/>
    <n v="0"/>
    <n v="0"/>
    <n v="0"/>
    <n v="0"/>
    <n v="0"/>
    <n v="0"/>
    <n v="0"/>
    <n v="0"/>
    <n v="0"/>
    <n v="0"/>
    <n v="0"/>
    <n v="1"/>
    <n v="0"/>
    <x v="0"/>
    <x v="2"/>
    <s v=""/>
    <n v="3"/>
    <n v="14"/>
    <n v="0"/>
    <n v="0"/>
    <n v="0"/>
    <n v="0"/>
    <n v="0"/>
    <n v="1"/>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4415DC-42BA-44ED-AC4B-2AF6B9A1BF5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11:D15" firstHeaderRow="0" firstDataRow="1" firstDataCol="1"/>
  <pivotFields count="45">
    <pivotField numFmtId="164" showAll="0"/>
    <pivotField axis="axisRow" showAll="0">
      <items count="4">
        <item x="1"/>
        <item x="0"/>
        <item x="2"/>
        <item t="default"/>
      </items>
    </pivotField>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1"/>
  </rowFields>
  <rowItems count="4">
    <i>
      <x/>
    </i>
    <i>
      <x v="1"/>
    </i>
    <i>
      <x v="2"/>
    </i>
    <i t="grand">
      <x/>
    </i>
  </rowItems>
  <colFields count="1">
    <field x="-2"/>
  </colFields>
  <colItems count="2">
    <i>
      <x/>
    </i>
    <i i="1">
      <x v="1"/>
    </i>
  </colItems>
  <dataFields count="2">
    <dataField name="Count of Respondents" fld="36" subtotal="count" baseField="0" baseItem="0"/>
    <dataField name="Percent of Respondents" fld="36"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E24693-3F2B-4705-9344-E07AE493F53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33:I40" firstHeaderRow="0" firstDataRow="1" firstDataCol="1"/>
  <pivotFields count="45">
    <pivotField numFmtId="164" showAll="0"/>
    <pivotField showAll="0"/>
    <pivotField showAll="0"/>
    <pivotField showAll="0"/>
    <pivotField showAll="0" sortType="descending"/>
    <pivotField showAll="0"/>
    <pivotField axis="axisRow" showAll="0" sortType="descending">
      <items count="7">
        <item x="5"/>
        <item x="2"/>
        <item x="4"/>
        <item x="0"/>
        <item x="3"/>
        <item x="1"/>
        <item t="default"/>
      </items>
    </pivotField>
    <pivotField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6"/>
  </rowFields>
  <rowItems count="7">
    <i>
      <x/>
    </i>
    <i>
      <x v="1"/>
    </i>
    <i>
      <x v="2"/>
    </i>
    <i>
      <x v="3"/>
    </i>
    <i>
      <x v="4"/>
    </i>
    <i>
      <x v="5"/>
    </i>
    <i t="grand">
      <x/>
    </i>
  </rowItems>
  <colFields count="1">
    <field x="-2"/>
  </colFields>
  <colItems count="2">
    <i>
      <x/>
    </i>
    <i i="1">
      <x v="1"/>
    </i>
  </colItems>
  <dataFields count="2">
    <dataField name="Count of Respondents" fld="36" subtotal="count" baseField="0" baseItem="0"/>
    <dataField name="Sum of Respondent_ID" fld="36" showDataAs="percentOfTotal" baseField="0" baseItem="0" numFmtId="10"/>
  </dataFields>
  <chartFormats count="4">
    <chartFormat chart="0"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529CD6-C7F0-4F3C-B442-238B1E7ABB1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H58:I62" firstHeaderRow="1" firstDataRow="1" firstDataCol="1"/>
  <pivotFields count="45">
    <pivotField numFmtId="164" showAll="0"/>
    <pivotField showAll="0"/>
    <pivotField showAll="0"/>
    <pivotField showAll="0"/>
    <pivotField showAll="0" sortType="descending"/>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dataField="1" showAll="0"/>
    <pivotField showAll="0"/>
    <pivotField showAll="0"/>
    <pivotField showAll="0"/>
    <pivotField showAll="0"/>
    <pivotField showAll="0"/>
    <pivotField showAll="0"/>
    <pivotField showAll="0"/>
    <pivotField showAll="0"/>
  </pivotFields>
  <rowFields count="1">
    <field x="33"/>
  </rowFields>
  <rowItems count="4">
    <i>
      <x/>
    </i>
    <i>
      <x v="1"/>
    </i>
    <i>
      <x v="2"/>
    </i>
    <i t="grand">
      <x/>
    </i>
  </rowItems>
  <colItems count="1">
    <i/>
  </colItems>
  <dataFields count="1">
    <dataField name="Count of Respondents" fld="36" subtotal="count" baseField="0" baseItem="0"/>
  </dataFields>
  <chartFormats count="4">
    <chartFormat chart="0"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23152A-70F3-41DE-A270-815BAE5FF1E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34:C38" firstHeaderRow="1" firstDataRow="1" firstDataCol="1"/>
  <pivotFields count="45">
    <pivotField numFmtId="164" showAll="0"/>
    <pivotField showAll="0"/>
    <pivotField showAll="0"/>
    <pivotField showAll="0"/>
    <pivotField axis="axisRow" showAll="0" sortType="descending">
      <items count="4">
        <item x="2"/>
        <item x="0"/>
        <item x="1"/>
        <item t="default"/>
      </items>
    </pivotField>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Respondents" fld="36" subtotal="count" baseField="0" baseItem="0"/>
  </dataFields>
  <chartFormats count="2">
    <chartFormat chart="0"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00CDDF-11BA-49B0-9486-D81560C6F96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L33:Q38" firstHeaderRow="1" firstDataRow="2" firstDataCol="1"/>
  <pivotFields count="45">
    <pivotField numFmtId="164" showAll="0"/>
    <pivotField showAll="0"/>
    <pivotField showAll="0"/>
    <pivotField axis="axisCol" showAll="0">
      <items count="5">
        <item x="0"/>
        <item x="2"/>
        <item x="3"/>
        <item x="1"/>
        <item t="default"/>
      </items>
    </pivotField>
    <pivotField axis="axisRow" showAll="0">
      <items count="4">
        <item x="1"/>
        <item x="0"/>
        <item x="2"/>
        <item t="default"/>
      </items>
    </pivotField>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3"/>
  </colFields>
  <colItems count="5">
    <i>
      <x/>
    </i>
    <i>
      <x v="1"/>
    </i>
    <i>
      <x v="2"/>
    </i>
    <i>
      <x v="3"/>
    </i>
    <i t="grand">
      <x/>
    </i>
  </colItems>
  <dataFields count="1">
    <dataField name="Count of Respondent_ID" fld="36"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653341-ADA0-4E67-9BA4-5252A03A83D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H11:I15" firstHeaderRow="1" firstDataRow="1" firstDataCol="1"/>
  <pivotFields count="45">
    <pivotField numFmtId="164" showAll="0"/>
    <pivotField showAll="0"/>
    <pivotField axis="axisRow" showAll="0">
      <items count="4">
        <item x="1"/>
        <item x="0"/>
        <item x="2"/>
        <item t="default"/>
      </items>
    </pivotField>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Respondents" fld="36" subtotal="count" baseField="0" baseItem="0"/>
  </dataFields>
  <formats count="1">
    <format dxfId="1">
      <pivotArea dataOnly="0" labelOnly="1" fieldPosition="0">
        <references count="1">
          <reference field="2" count="1">
            <x v="2"/>
          </reference>
        </references>
      </pivotArea>
    </format>
  </formats>
  <chartFormats count="2">
    <chartFormat chart="0"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1B9ABBB-5C84-4C7C-B738-0E89607EE81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M11:N16" firstHeaderRow="1" firstDataRow="1" firstDataCol="1"/>
  <pivotFields count="45">
    <pivotField numFmtId="164" showAll="0"/>
    <pivotField showAll="0"/>
    <pivotField showAll="0"/>
    <pivotField axis="axisRow" showAll="0">
      <items count="5">
        <item x="0"/>
        <item x="2"/>
        <item x="3"/>
        <item x="1"/>
        <item t="default"/>
      </items>
    </pivotField>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ascending"/>
    <pivotField showAll="0"/>
    <pivotField dataField="1" showAll="0"/>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Count of Respondents" fld="36" subtotal="count" baseField="0" baseItem="0"/>
  </dataFields>
  <chartFormats count="3">
    <chartFormat chart="0"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05AAD43-9867-41B4-A0DC-CCA3B4F39AD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58:C63" firstHeaderRow="1" firstDataRow="1" firstDataCol="1"/>
  <pivotFields count="45">
    <pivotField numFmtId="164" showAll="0"/>
    <pivotField showAll="0"/>
    <pivotField showAll="0"/>
    <pivotField showAll="0"/>
    <pivotField showAll="0" sortType="descending"/>
    <pivotField showAll="0"/>
    <pivotField showAll="0"/>
    <pivotField axis="axisRow" showAll="0">
      <items count="5">
        <item x="3"/>
        <item x="2"/>
        <item x="1"/>
        <item x="0"/>
        <item t="default"/>
      </items>
    </pivotField>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7"/>
  </rowFields>
  <rowItems count="5">
    <i>
      <x/>
    </i>
    <i>
      <x v="1"/>
    </i>
    <i>
      <x v="2"/>
    </i>
    <i>
      <x v="3"/>
    </i>
    <i t="grand">
      <x/>
    </i>
  </rowItems>
  <colItems count="1">
    <i/>
  </colItems>
  <dataFields count="1">
    <dataField name="Count of Respondents" fld="36" subtotal="count" baseField="0" baseItem="0"/>
  </dataFields>
  <chartFormats count="3">
    <chartFormat chart="0"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6670F4-686A-4220-8ABC-DB1A85875B6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G82:N83" firstHeaderRow="0" firstDataRow="1" firstDataCol="0"/>
  <pivotFields count="45">
    <pivotField numFmtId="164" showAll="0"/>
    <pivotField showAll="0"/>
    <pivotField showAll="0"/>
    <pivotField showAll="0"/>
    <pivotField showAll="0" sortType="descending"/>
    <pivotField showAll="0"/>
    <pivotField showAll="0"/>
    <pivotField showAll="0"/>
    <pivotField showAll="0"/>
    <pivotField numFmtId="2" showAll="0"/>
    <pivotField showAll="0" sortType="ascending"/>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s>
  <rowItems count="1">
    <i/>
  </rowItems>
  <colFields count="1">
    <field x="-2"/>
  </colFields>
  <colItems count="8">
    <i>
      <x/>
    </i>
    <i i="1">
      <x v="1"/>
    </i>
    <i i="2">
      <x v="2"/>
    </i>
    <i i="3">
      <x v="3"/>
    </i>
    <i i="4">
      <x v="4"/>
    </i>
    <i i="5">
      <x v="5"/>
    </i>
    <i i="6">
      <x v="6"/>
    </i>
    <i i="7">
      <x v="7"/>
    </i>
  </colItems>
  <dataFields count="8">
    <dataField name="Sum of DI_Trendier_Designs" fld="37" baseField="0" baseItem="0"/>
    <dataField name="Sum of DI_More_Sneakers" fld="38" baseField="0" baseItem="0"/>
    <dataField name="Sum of DI_Student_Friendly_Pricing" fld="39" baseField="0" baseItem="0"/>
    <dataField name="Sum of DI_Influencer_Collab" fld="40" baseField="0" baseItem="0"/>
    <dataField name="Sum of DI_Better_Social_Media" fld="41" baseField="0" baseItem="0"/>
    <dataField name="Sum of DI_Limited_Edition" fld="42" baseField="0" baseItem="0"/>
    <dataField name="Sum of DI_Better_Online" fld="43" baseField="0" baseItem="0"/>
    <dataField name="Sum of DI_Loyalty_Rewards" fld="44" baseField="0" baseItem="0"/>
  </dataFields>
  <chartFormats count="8">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24" format="2" series="1">
      <pivotArea type="data" outline="0" fieldPosition="0">
        <references count="1">
          <reference field="4294967294" count="1" selected="0">
            <x v="2"/>
          </reference>
        </references>
      </pivotArea>
    </chartFormat>
    <chartFormat chart="24" format="3" series="1">
      <pivotArea type="data" outline="0" fieldPosition="0">
        <references count="1">
          <reference field="4294967294" count="1" selected="0">
            <x v="3"/>
          </reference>
        </references>
      </pivotArea>
    </chartFormat>
    <chartFormat chart="24" format="4" series="1">
      <pivotArea type="data" outline="0" fieldPosition="0">
        <references count="1">
          <reference field="4294967294" count="1" selected="0">
            <x v="4"/>
          </reference>
        </references>
      </pivotArea>
    </chartFormat>
    <chartFormat chart="24" format="5" series="1">
      <pivotArea type="data" outline="0" fieldPosition="0">
        <references count="1">
          <reference field="4294967294" count="1" selected="0">
            <x v="5"/>
          </reference>
        </references>
      </pivotArea>
    </chartFormat>
    <chartFormat chart="24" format="6" series="1">
      <pivotArea type="data" outline="0" fieldPosition="0">
        <references count="1">
          <reference field="4294967294" count="1" selected="0">
            <x v="6"/>
          </reference>
        </references>
      </pivotArea>
    </chartFormat>
    <chartFormat chart="24" format="7" series="1">
      <pivotArea type="data" outline="0" fieldPosition="0">
        <references count="1">
          <reference field="4294967294" count="1" selected="0">
            <x v="7"/>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9F76A49-30F3-4224-B67C-4D03A8E2C56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L58:U59" firstHeaderRow="0" firstDataRow="1" firstDataCol="0"/>
  <pivotFields count="45">
    <pivotField numFmtId="164" showAll="0"/>
    <pivotField showAll="0"/>
    <pivotField showAll="0"/>
    <pivotField showAll="0"/>
    <pivotField showAll="0" sortType="descending"/>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10">
    <i>
      <x/>
    </i>
    <i i="1">
      <x v="1"/>
    </i>
    <i i="2">
      <x v="2"/>
    </i>
    <i i="3">
      <x v="3"/>
    </i>
    <i i="4">
      <x v="4"/>
    </i>
    <i i="5">
      <x v="5"/>
    </i>
    <i i="6">
      <x v="6"/>
    </i>
    <i i="7">
      <x v="7"/>
    </i>
    <i i="8">
      <x v="8"/>
    </i>
    <i i="9">
      <x v="9"/>
    </i>
  </colItems>
  <dataFields count="10">
    <dataField name="Sum of BP_Comfortable" fld="22" baseField="0" baseItem="0"/>
    <dataField name="Sum of BP_Affordable" fld="23" baseField="0" baseItem="0"/>
    <dataField name="Sum of BP_Good_Quality" fld="25" baseField="0" baseItem="0"/>
    <dataField name="Sum of BP_Reliable" fld="24" baseField="0" baseItem="0"/>
    <dataField name="Sum of BP_Stylish" fld="26" baseField="0" baseItem="0"/>
    <dataField name="Sum of BP_Youth_Friendly" fld="29" baseField="0" baseItem="0"/>
    <dataField name="Sum of BP_Traditional" fld="28" baseField="0" baseItem="0"/>
    <dataField name="Sum of BP_Trendy" fld="27" baseField="0" baseItem="0"/>
    <dataField name="Sum of BP_Easily_Available" fld="30" baseField="0" baseItem="0"/>
    <dataField name="Sum of BP_Not_Sure" fld="31" baseField="0" baseItem="0"/>
  </dataFields>
  <chartFormats count="10">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0" format="2" series="1">
      <pivotArea type="data" outline="0" fieldPosition="0">
        <references count="1">
          <reference field="4294967294" count="1" selected="0">
            <x v="2"/>
          </reference>
        </references>
      </pivotArea>
    </chartFormat>
    <chartFormat chart="20" format="3" series="1">
      <pivotArea type="data" outline="0" fieldPosition="0">
        <references count="1">
          <reference field="4294967294" count="1" selected="0">
            <x v="3"/>
          </reference>
        </references>
      </pivotArea>
    </chartFormat>
    <chartFormat chart="20" format="4" series="1">
      <pivotArea type="data" outline="0" fieldPosition="0">
        <references count="1">
          <reference field="4294967294" count="1" selected="0">
            <x v="4"/>
          </reference>
        </references>
      </pivotArea>
    </chartFormat>
    <chartFormat chart="20" format="5" series="1">
      <pivotArea type="data" outline="0" fieldPosition="0">
        <references count="1">
          <reference field="4294967294" count="1" selected="0">
            <x v="5"/>
          </reference>
        </references>
      </pivotArea>
    </chartFormat>
    <chartFormat chart="20" format="6" series="1">
      <pivotArea type="data" outline="0" fieldPosition="0">
        <references count="1">
          <reference field="4294967294" count="1" selected="0">
            <x v="6"/>
          </reference>
        </references>
      </pivotArea>
    </chartFormat>
    <chartFormat chart="20" format="7" series="1">
      <pivotArea type="data" outline="0" fieldPosition="0">
        <references count="1">
          <reference field="4294967294" count="1" selected="0">
            <x v="7"/>
          </reference>
        </references>
      </pivotArea>
    </chartFormat>
    <chartFormat chart="20" format="8" series="1">
      <pivotArea type="data" outline="0" fieldPosition="0">
        <references count="1">
          <reference field="4294967294" count="1" selected="0">
            <x v="8"/>
          </reference>
        </references>
      </pivotArea>
    </chartFormat>
    <chartFormat chart="20" format="9" series="1">
      <pivotArea type="data" outline="0" fieldPosition="0">
        <references count="1">
          <reference field="4294967294" count="1" selected="0">
            <x v="9"/>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047D801-A69F-439F-A0CA-4BD2240EBE12}"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B124:E128" firstHeaderRow="0" firstDataRow="1" firstDataCol="1"/>
  <pivotFields count="45">
    <pivotField numFmtId="164" showAll="0"/>
    <pivotField showAll="0"/>
    <pivotField showAll="0"/>
    <pivotField showAll="0"/>
    <pivotField axis="axisRow" showAll="0" sortType="descending">
      <items count="4">
        <item x="2"/>
        <item x="0"/>
        <item x="1"/>
        <item t="default"/>
      </items>
    </pivotField>
    <pivotField showAll="0"/>
    <pivotField showAll="0"/>
    <pivotField showAll="0"/>
    <pivotField showAll="0"/>
    <pivotField numFmtId="2" showAll="0"/>
    <pivotField showAll="0" sortType="ascending"/>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4">
        <item x="2"/>
        <item x="0"/>
        <item x="1"/>
        <item t="default"/>
      </items>
    </pivotField>
    <pivotField showAll="0"/>
    <pivotField showAll="0"/>
    <pivotField showAll="0"/>
    <pivotField dataField="1" showAll="0"/>
    <pivotField dataField="1" showAll="0"/>
    <pivotField dataField="1" showAll="0"/>
    <pivotField showAll="0"/>
    <pivotField showAll="0"/>
    <pivotField showAll="0"/>
    <pivotField showAll="0"/>
    <pivotField showAll="0"/>
  </pivotFields>
  <rowFields count="1">
    <field x="4"/>
  </rowFields>
  <rowItems count="4">
    <i>
      <x/>
    </i>
    <i>
      <x v="1"/>
    </i>
    <i>
      <x v="2"/>
    </i>
    <i t="grand">
      <x/>
    </i>
  </rowItems>
  <colFields count="1">
    <field x="-2"/>
  </colFields>
  <colItems count="3">
    <i>
      <x/>
    </i>
    <i i="1">
      <x v="1"/>
    </i>
    <i i="2">
      <x v="2"/>
    </i>
  </colItems>
  <dataFields count="3">
    <dataField name="Sum of DI_More_Sneakers" fld="38" baseField="0" baseItem="0"/>
    <dataField name="Sum of DI_Trendier_Designs" fld="37" baseField="0" baseItem="0"/>
    <dataField name="Sum of DI_Student_Friendly_Pricing" fld="3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FEB6E19-3E94-41A2-BE11-CEC6E05B346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H105:L109" firstHeaderRow="1" firstDataRow="2" firstDataCol="1"/>
  <pivotFields count="45">
    <pivotField numFmtId="164" showAll="0"/>
    <pivotField showAll="0"/>
    <pivotField showAll="0"/>
    <pivotField showAll="0"/>
    <pivotField showAll="0" sortType="descending"/>
    <pivotField showAll="0"/>
    <pivotField showAll="0"/>
    <pivotField showAll="0"/>
    <pivotField showAll="0"/>
    <pivotField numFmtId="2" showAll="0"/>
    <pivotField showAll="0" sortType="ascending"/>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axis="axisCol" showAll="0">
      <items count="4">
        <item x="2"/>
        <item x="0"/>
        <item x="1"/>
        <item t="default"/>
      </items>
    </pivotField>
    <pivotField showAll="0"/>
    <pivotField showAll="0"/>
    <pivotField dataField="1" showAll="0"/>
    <pivotField showAll="0"/>
    <pivotField showAll="0"/>
    <pivotField showAll="0"/>
    <pivotField showAll="0"/>
    <pivotField showAll="0"/>
    <pivotField showAll="0"/>
    <pivotField showAll="0"/>
    <pivotField showAll="0"/>
  </pivotFields>
  <rowFields count="1">
    <field x="32"/>
  </rowFields>
  <rowItems count="3">
    <i>
      <x/>
    </i>
    <i>
      <x v="1"/>
    </i>
    <i t="grand">
      <x/>
    </i>
  </rowItems>
  <colFields count="1">
    <field x="33"/>
  </colFields>
  <colItems count="4">
    <i>
      <x/>
    </i>
    <i>
      <x v="1"/>
    </i>
    <i>
      <x v="2"/>
    </i>
    <i t="grand">
      <x/>
    </i>
  </colItems>
  <dataFields count="1">
    <dataField name="Count of Respondent_ID" fld="36"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1D5E897-2EF9-4789-A2E6-0BE4C4D9CA0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82:C90" firstHeaderRow="1" firstDataRow="1" firstDataCol="1"/>
  <pivotFields count="45">
    <pivotField numFmtId="164" showAll="0"/>
    <pivotField showAll="0"/>
    <pivotField showAll="0"/>
    <pivotField showAll="0"/>
    <pivotField showAll="0" sortType="descending"/>
    <pivotField showAll="0"/>
    <pivotField showAll="0"/>
    <pivotField showAll="0"/>
    <pivotField showAll="0"/>
    <pivotField numFmtId="2" showAll="0"/>
    <pivotField axis="axisRow" showAll="0" sortType="ascending">
      <items count="8">
        <item x="0"/>
        <item x="1"/>
        <item x="5"/>
        <item x="3"/>
        <item x="4"/>
        <item x="6"/>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10"/>
  </rowFields>
  <rowItems count="8">
    <i>
      <x/>
    </i>
    <i>
      <x v="1"/>
    </i>
    <i>
      <x v="2"/>
    </i>
    <i>
      <x v="3"/>
    </i>
    <i>
      <x v="4"/>
    </i>
    <i>
      <x v="5"/>
    </i>
    <i>
      <x v="6"/>
    </i>
    <i t="grand">
      <x/>
    </i>
  </rowItems>
  <colItems count="1">
    <i/>
  </colItems>
  <dataFields count="1">
    <dataField name="Count of Respondents" fld="36" subtotal="count" baseField="0" baseItem="0"/>
  </dataFields>
  <chartFormats count="4">
    <chartFormat chart="0"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M15">
  <tableColumns count="13">
    <tableColumn id="1" xr3:uid="{00000000-0010-0000-0000-000001000000}" name="Timestamp"/>
    <tableColumn id="2" xr3:uid="{00000000-0010-0000-0000-000002000000}" name="What is your age group "/>
    <tableColumn id="3" xr3:uid="{00000000-0010-0000-0000-000003000000}" name="What best describes you?  "/>
    <tableColumn id="4" xr3:uid="{00000000-0010-0000-0000-000004000000}" name="How much do you usually spend on one pair of footwear?  "/>
    <tableColumn id="5" xr3:uid="{00000000-0010-0000-0000-000005000000}" name="Which type of footwear do you buy most often?  "/>
    <tableColumn id="6" xr3:uid="{00000000-0010-0000-0000-000006000000}" name="Which THREE factors matter most when buying footwear?  "/>
    <tableColumn id="7" xr3:uid="{00000000-0010-0000-0000-000007000000}" name="Which footwear brand would be your first choice today?  "/>
    <tableColumn id="8" xr3:uid="{00000000-0010-0000-0000-000008000000}" name="Have you ever purchased Bata footwear?"/>
    <tableColumn id="9" xr3:uid="{00000000-0010-0000-0000-000009000000}" name="Which words best describe Bata to you?  "/>
    <tableColumn id="10" xr3:uid="{00000000-0010-0000-0000-00000A000000}" name="How likely are you to consider Bata for your next footwear purchase?  "/>
    <tableColumn id="11" xr3:uid="{00000000-0010-0000-0000-00000B000000}" name="What might stop you from buying Bata?  "/>
    <tableColumn id="12" xr3:uid="{00000000-0010-0000-0000-00000C000000}" name="What would make you more interested in Bata?  "/>
    <tableColumn id="13" xr3:uid="{00000000-0010-0000-0000-00000D000000}" name="If Bata wanted to attract people your age, what ONE thing should it improve?  "/>
  </tableColumns>
  <tableStyleInfo name="Form Responses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E7A3A-9539-4827-B0D0-42D587D58B1C}" name="Form_Responses3" displayName="Form_Responses3" ref="A1:AS15">
  <autoFilter ref="A1:AS15" xr:uid="{000E7A3A-9539-4827-B0D0-42D587D58B1C}"/>
  <sortState xmlns:xlrd2="http://schemas.microsoft.com/office/spreadsheetml/2017/richdata2" ref="A2:M15">
    <sortCondition ref="J1:J15"/>
  </sortState>
  <tableColumns count="45">
    <tableColumn id="1" xr3:uid="{63CEC771-3E60-4C45-A88E-25C4614C2984}" name="Timestamp" dataDxfId="34"/>
    <tableColumn id="2" xr3:uid="{005974E2-19F2-463B-9CA9-646AFF18EA9E}" name="Age_Group"/>
    <tableColumn id="3" xr3:uid="{2578B1A0-23B2-43A3-88C6-BFFE59842387}" name="Current_Status"/>
    <tableColumn id="4" xr3:uid="{9F7DE8B7-F8CD-4CED-9825-6DFAA38C9E13}" name="Spending_Range"/>
    <tableColumn id="5" xr3:uid="{8288E690-31FF-46ED-A2BD-9633D5963ECE}" name="Footwear_Type"/>
    <tableColumn id="6" xr3:uid="{89F1480C-D18E-4F6D-84B0-14C576392A15}" name="Purchase_Factors"/>
    <tableColumn id="7" xr3:uid="{A6830A8E-3D61-4A6A-878A-B7EA8427690F}" name="First_Choice_Brand"/>
    <tableColumn id="8" xr3:uid="{553E659A-604B-4811-931A-83AAFA006F5B}" name="Bata_Purchase_History"/>
    <tableColumn id="9" xr3:uid="{2348D035-9F53-4EDC-B1A6-6AED0B61800E}" name="Bata_Perception"/>
    <tableColumn id="10" xr3:uid="{B2258FA6-CC9D-4C26-93AF-635E38BBD969}" name="Purchase_Likelihood" dataDxfId="33"/>
    <tableColumn id="11" xr3:uid="{2E26A1A3-AB7E-4A9D-AECD-C10C506B1A8A}" name="Purchase_Barrier"/>
    <tableColumn id="12" xr3:uid="{C3311733-A94F-4F65-9355-030601005B77}" name="Desired_Improvement"/>
    <tableColumn id="13" xr3:uid="{3E8F09FA-2BA1-4550-AA54-12D39ACCC3CB}" name="Open_Feedback"/>
    <tableColumn id="15" xr3:uid="{4F47E444-48A1-479B-BE52-112DA1EF5728}" name="PF_Comfort" dataDxfId="32">
      <calculatedColumnFormula>--ISNUMBER(SEARCH("Comfort",Form_Responses3[[#This Row],[Purchase_Factors]]))</calculatedColumnFormula>
    </tableColumn>
    <tableColumn id="16" xr3:uid="{0558FDFE-8188-4715-B125-05EE00536EBA}" name="PF_Price" dataDxfId="31">
      <calculatedColumnFormula>--ISNUMBER(SEARCH("Price",Form_Responses3[[#This Row],[Purchase_Factors]]))</calculatedColumnFormula>
    </tableColumn>
    <tableColumn id="17" xr3:uid="{C08A6E98-AD6A-4139-8F97-B755DB0E2EE1}" name="PF_Style" dataDxfId="30">
      <calculatedColumnFormula>--ISNUMBER(SEARCH("Style",Form_Responses3[[#This Row],[Purchase_Factors]]))</calculatedColumnFormula>
    </tableColumn>
    <tableColumn id="18" xr3:uid="{7BF4F9EB-427B-4800-BD0E-10BDFD3BBF43}" name="PF_Quality" dataDxfId="29">
      <calculatedColumnFormula>--ISNUMBER(SEARCH("Quality",Form_Responses3[[#This Row],[Purchase_Factors]]))</calculatedColumnFormula>
    </tableColumn>
    <tableColumn id="19" xr3:uid="{D95B1AF6-E863-4D95-8E68-FEAC79D376B7}" name="PF_Durability" dataDxfId="28">
      <calculatedColumnFormula>--ISNUMBER(SEARCH("Durability",Form_Responses3[[#This Row],[Purchase_Factors]]))</calculatedColumnFormula>
    </tableColumn>
    <tableColumn id="20" xr3:uid="{67FE82F1-276E-4409-8833-DDA402616F0F}" name="PF_Brand" dataDxfId="27">
      <calculatedColumnFormula>--ISNUMBER(SEARCH("Brand",Form_Responses3[[#This Row],[Purchase_Factors]]))</calculatedColumnFormula>
    </tableColumn>
    <tableColumn id="21" xr3:uid="{C8F26417-E20F-44E4-8A3A-51D203641E78}" name="PF_Discounts" dataDxfId="26">
      <calculatedColumnFormula>--ISNUMBER(SEARCH("Discount",Form_Responses3[[#This Row],[Purchase_Factors]]))</calculatedColumnFormula>
    </tableColumn>
    <tableColumn id="22" xr3:uid="{35BB18FC-0D8C-4D86-9F4A-07F6C936C862}" name="PF_Reviews" dataDxfId="25">
      <calculatedColumnFormula>--ISNUMBER(SEARCH("Reviews",Form_Responses3[[#This Row],[Purchase_Factors]]))</calculatedColumnFormula>
    </tableColumn>
    <tableColumn id="23" xr3:uid="{44BAC606-9DCE-4944-90CD-A550811A326A}" name="PF_Latest_Trends" dataDxfId="24">
      <calculatedColumnFormula>--ISNUMBER(SEARCH("Latest Trends",Form_Responses3[[#This Row],[Purchase_Factors]]))</calculatedColumnFormula>
    </tableColumn>
    <tableColumn id="24" xr3:uid="{4057DD9A-B6B5-4BC8-8854-505DDF0CAD62}" name="BP_Comfortable" dataDxfId="23">
      <calculatedColumnFormula>--ISNUMBER(SEARCH("Comfortable",Form_Responses3[[#This Row],[Bata_Perception]]))</calculatedColumnFormula>
    </tableColumn>
    <tableColumn id="25" xr3:uid="{6B251BF8-9984-4436-9FBB-3546E4E4D612}" name="BP_Affordable" dataDxfId="22">
      <calculatedColumnFormula>--ISNUMBER(SEARCH("Affordable",Form_Responses3[[#This Row],[Bata_Perception]]))</calculatedColumnFormula>
    </tableColumn>
    <tableColumn id="26" xr3:uid="{90CA4CBF-C151-437D-9332-C602AF4E8065}" name="BP_Reliable" dataDxfId="21">
      <calculatedColumnFormula>--ISNUMBER(SEARCH("Reliable",Form_Responses3[[#This Row],[Bata_Perception]]))</calculatedColumnFormula>
    </tableColumn>
    <tableColumn id="27" xr3:uid="{48EAF446-8C41-4223-8746-4BE797E20173}" name="BP_Good_Quality" dataDxfId="20">
      <calculatedColumnFormula>--ISNUMBER(SEARCH("Good Quality",Form_Responses3[[#This Row],[Bata_Perception]]))</calculatedColumnFormula>
    </tableColumn>
    <tableColumn id="28" xr3:uid="{AF5D83CE-87F3-440D-BD7E-483961EC3012}" name="BP_Stylish" dataDxfId="19">
      <calculatedColumnFormula>--ISNUMBER(SEARCH("Stylish",Form_Responses3[[#This Row],[Bata_Perception]]))</calculatedColumnFormula>
    </tableColumn>
    <tableColumn id="29" xr3:uid="{0FD2ECFA-88FE-4D00-A107-80BCCCEA6788}" name="BP_Trendy" dataDxfId="18">
      <calculatedColumnFormula>--ISNUMBER(SEARCH("Trendy",Form_Responses3[[#This Row],[Bata_Perception]]))</calculatedColumnFormula>
    </tableColumn>
    <tableColumn id="30" xr3:uid="{D51DD495-D9F7-4393-85B7-50BA5340E173}" name="BP_Traditional" dataDxfId="17">
      <calculatedColumnFormula>--ISNUMBER(SEARCH("Traditional",Form_Responses3[[#This Row],[Bata_Perception]]))</calculatedColumnFormula>
    </tableColumn>
    <tableColumn id="31" xr3:uid="{2D60E6D8-AB0B-4699-8B34-1BDAC33A3E9F}" name="BP_Youth_Friendly" dataDxfId="16">
      <calculatedColumnFormula>--ISNUMBER(SEARCH("Youth Friendly",Form_Responses3[[#This Row],[Bata_Perception]]))</calculatedColumnFormula>
    </tableColumn>
    <tableColumn id="32" xr3:uid="{089D67A4-FBF0-40E0-8B39-CBE1FAF8902B}" name="BP_Easily_Available" dataDxfId="15">
      <calculatedColumnFormula>--ISNUMBER(SEARCH("Easily Available",Form_Responses3[[#This Row],[Bata_Perception]]))</calculatedColumnFormula>
    </tableColumn>
    <tableColumn id="33" xr3:uid="{FAF3D7A8-6507-49FA-BF28-7BB1BC493C29}" name="BP_Not_Sure" dataDxfId="14">
      <calculatedColumnFormula>--ISNUMBER(SEARCH("Not Sure",Form_Responses3[[#This Row],[Bata_Perception]]))</calculatedColumnFormula>
    </tableColumn>
    <tableColumn id="14" xr3:uid="{C7CC6C3A-3B0B-48DA-B230-5BB9208C7861}" name="Bata_Ever_Purchased" dataDxfId="13">
      <calculatedColumnFormula>IF(OR(Form_Responses3[[#This Row],[Bata_Purchase_History]]="Yes, recently",Form_Responses3[[#This Row],[Bata_Purchase_History]]="Yes, but long ago"), "Yes", "No")</calculatedColumnFormula>
    </tableColumn>
    <tableColumn id="34" xr3:uid="{FDC3D598-EF3C-49F5-99C7-C1BD9D6256F0}" name="Purchase_Intent_Group" dataDxfId="12">
      <calculatedColumnFormula>IF(Form_Responses3[[#This Row],[Purchase_Likelihood]]&lt;=2,"Low",IF(Form_Responses3[[#This Row],[Purchase_Likelihood]]=3,"Neutral","High"))</calculatedColumnFormula>
    </tableColumn>
    <tableColumn id="35" xr3:uid="{843837D4-A76E-40FE-B792-002FD95776D1}" name="Spending_Score" dataDxfId="0">
      <calculatedColumnFormula>_xlfn.SWITCH(Form_Responses3[[#This Row],[Spending_Range]],
"Below ₹1,000",1,
"₹1,000–1,999",2,
"₹2,000–2,999",3,
"₹3,000–4,999",4,
"₹5,000+",5,
"")</calculatedColumnFormula>
    </tableColumn>
    <tableColumn id="36" xr3:uid="{328A0996-E3A3-4F2F-883D-0C279F0E361E}" name="Selections_Count" dataDxfId="11">
      <calculatedColumnFormula>SUM(Form_Responses3[[#This Row],[PF_Comfort]:[PF_Latest_Trends]])</calculatedColumnFormula>
    </tableColumn>
    <tableColumn id="37" xr3:uid="{8641DEC1-4518-4115-A66D-711BA473BFBB}" name="Respondent_ID" dataDxfId="10"/>
    <tableColumn id="38" xr3:uid="{96CD644B-EDAB-41CC-807B-BFDF59BBFD70}" name="DI_Trendier_Designs" dataDxfId="9">
      <calculatedColumnFormula>--ISNUMBER(SEARCH("Trendier designs",Form_Responses3[[#This Row],[Desired_Improvement]]))</calculatedColumnFormula>
    </tableColumn>
    <tableColumn id="39" xr3:uid="{606017AD-3698-460E-A19A-B93E28BCF32C}" name="DI_More_Sneakers" dataDxfId="8">
      <calculatedColumnFormula>--ISNUMBER(SEARCH("More Sneakers",Form_Responses3[[#This Row],[Desired_Improvement]]))</calculatedColumnFormula>
    </tableColumn>
    <tableColumn id="40" xr3:uid="{C5DB3B18-D870-43DE-8F92-554744712104}" name="DI_Student_Friendly_Pricing" dataDxfId="7">
      <calculatedColumnFormula>--ISNUMBER(SEARCH("Student friendly prices",Form_Responses3[[#This Row],[Desired_Improvement]]))</calculatedColumnFormula>
    </tableColumn>
    <tableColumn id="41" xr3:uid="{63C1E84D-C200-468C-A788-09F86111A937}" name="DI_Influencer_Collab" dataDxfId="6">
      <calculatedColumnFormula>--ISNUMBER(SEARCH("Influencer Collaborations",Form_Responses3[[#This Row],[Desired_Improvement]]))</calculatedColumnFormula>
    </tableColumn>
    <tableColumn id="42" xr3:uid="{D680DDD4-2D51-436E-8331-F4B59DAEDA4F}" name="DI_Better_Social_Media" dataDxfId="5">
      <calculatedColumnFormula>--ISNUMBER(SEARCH("Better Social Media",Form_Responses3[[#This Row],[Desired_Improvement]]))</calculatedColumnFormula>
    </tableColumn>
    <tableColumn id="43" xr3:uid="{4B10E1DD-3ADC-4EC3-9D7A-3295AF55BC20}" name="DI_Limited_Edition" dataDxfId="4">
      <calculatedColumnFormula>--ISNUMBER(SEARCH("Limited-edited collections",Form_Responses3[[#This Row],[Desired_Improvement]]))</calculatedColumnFormula>
    </tableColumn>
    <tableColumn id="44" xr3:uid="{647312AE-5C46-41D7-9FCA-31429109CECF}" name="DI_Better_Online" dataDxfId="3">
      <calculatedColumnFormula>--ISNUMBER(SEARCH("Better online shopping",Form_Responses3[[#This Row],[Desired_Improvement]]))</calculatedColumnFormula>
    </tableColumn>
    <tableColumn id="45" xr3:uid="{1BCA7664-6864-4037-94C9-66797635A698}" name="DI_Loyalty_Rewards" dataDxfId="2">
      <calculatedColumnFormula>--ISNUMBER(SEARCH("Loyalty rewards",Form_Responses3[[#This Row],[Desired_Improvement]]))</calculatedColumnFormula>
    </tableColumn>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hyperlink" Target="https://financialfilings.com/filings/bata-india-limited/annual-report/2026/49363790/" TargetMode="External"/><Relationship Id="rId7" Type="http://schemas.openxmlformats.org/officeDocument/2006/relationships/hyperlink" Target="https://financialfilings.com/filings/bata-india-limited/annual-report/2026/49363790/" TargetMode="External"/><Relationship Id="rId2" Type="http://schemas.openxmlformats.org/officeDocument/2006/relationships/hyperlink" Target="https://financialfilings.com/filings/bata-india-limited/annual-report/2026/49363790/" TargetMode="External"/><Relationship Id="rId1" Type="http://schemas.openxmlformats.org/officeDocument/2006/relationships/hyperlink" Target="https://financialfilings.com/filings/bata-india-limited/annual-report/2026/49363790/" TargetMode="External"/><Relationship Id="rId6" Type="http://schemas.openxmlformats.org/officeDocument/2006/relationships/hyperlink" Target="https://financialfilings.com/filings/bata-india-limited/annual-report/2026/49363790/" TargetMode="External"/><Relationship Id="rId5" Type="http://schemas.openxmlformats.org/officeDocument/2006/relationships/hyperlink" Target="https://www.bata.com/in/men/shoes/sneakers/north-star%2Bpower/?utm_source=chatgpt.com" TargetMode="External"/><Relationship Id="rId4" Type="http://schemas.openxmlformats.org/officeDocument/2006/relationships/hyperlink" Target="https://financialfilings.com/filings/bata-india-limited/annual-report/2026/49363790/"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in.puma.com/in/en/sneakers?utm_source=chatgpt.com" TargetMode="External"/><Relationship Id="rId3" Type="http://schemas.openxmlformats.org/officeDocument/2006/relationships/hyperlink" Target="https://redtape.com/collections/men-casual-shoes?limit=25&amp;page=1&amp;utm_source=chatgpt.com" TargetMode="External"/><Relationship Id="rId7" Type="http://schemas.openxmlformats.org/officeDocument/2006/relationships/hyperlink" Target="https://redtape.com/collections/footwear-men?utm_source=chatgpt.com" TargetMode="External"/><Relationship Id="rId12" Type="http://schemas.openxmlformats.org/officeDocument/2006/relationships/hyperlink" Target="https://in.puma.com/in/en?utm_source=chatgpt.com" TargetMode="External"/><Relationship Id="rId2" Type="http://schemas.openxmlformats.org/officeDocument/2006/relationships/hyperlink" Target="https://www.campusshoes.com/collections/mens-sneakers?utm_source=chatgpt.com" TargetMode="External"/><Relationship Id="rId1" Type="http://schemas.openxmlformats.org/officeDocument/2006/relationships/hyperlink" Target="https://www.bata.com/in/men/shoes/sneakers/north-star%2Bpower/?utm_source=chatgpt.com" TargetMode="External"/><Relationship Id="rId6" Type="http://schemas.openxmlformats.org/officeDocument/2006/relationships/hyperlink" Target="https://www.campusshoes.com/collections/mens-sneakers?utm_source=chatgpt.com" TargetMode="External"/><Relationship Id="rId11" Type="http://schemas.openxmlformats.org/officeDocument/2006/relationships/hyperlink" Target="https://redtape.com/collections/footwear-men?utm_source=chatgpt.com" TargetMode="External"/><Relationship Id="rId5" Type="http://schemas.openxmlformats.org/officeDocument/2006/relationships/hyperlink" Target="https://in.puma.com/in/en/sneakers/shop-all-sneakers?utm_source=chatgpt.com" TargetMode="External"/><Relationship Id="rId10" Type="http://schemas.openxmlformats.org/officeDocument/2006/relationships/hyperlink" Target="https://www.campusshoes.com/collections/mens-sneakers?utm_source=chatgpt.com" TargetMode="External"/><Relationship Id="rId4" Type="http://schemas.openxmlformats.org/officeDocument/2006/relationships/hyperlink" Target="https://in.puma.com/in/en/sneakers/shop-all-sneakers?utm_source=chatgpt.com" TargetMode="External"/><Relationship Id="rId9" Type="http://schemas.openxmlformats.org/officeDocument/2006/relationships/hyperlink" Target="https://www.bata.com/in/men/shoes/sneakers/north-star%2Bpower/?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15"/>
  <sheetViews>
    <sheetView workbookViewId="0">
      <pane ySplit="1" topLeftCell="A2" activePane="bottomLeft" state="frozen"/>
      <selection pane="bottomLeft" activeCell="B19" sqref="B19"/>
    </sheetView>
  </sheetViews>
  <sheetFormatPr defaultColWidth="12.6640625" defaultRowHeight="15.75" customHeight="1" x14ac:dyDescent="0.25"/>
  <cols>
    <col min="1" max="1" width="18.88671875" customWidth="1"/>
    <col min="2" max="2" width="22.33203125" customWidth="1"/>
    <col min="3" max="3" width="24.77734375" customWidth="1"/>
    <col min="4" max="7" width="37.6640625" customWidth="1"/>
    <col min="8" max="8" width="34.88671875" customWidth="1"/>
    <col min="9" max="9" width="35" customWidth="1"/>
    <col min="10" max="10" width="37.6640625" customWidth="1"/>
    <col min="11" max="11" width="34.6640625" customWidth="1"/>
    <col min="12" max="12" width="37.6640625" customWidth="1"/>
    <col min="13" max="13" width="49.6640625" customWidth="1"/>
    <col min="14" max="19" width="18.88671875" customWidth="1"/>
  </cols>
  <sheetData>
    <row r="1" spans="1:13" ht="22.5" customHeight="1" x14ac:dyDescent="0.25">
      <c r="A1" s="1" t="s">
        <v>0</v>
      </c>
      <c r="B1" s="1" t="s">
        <v>1</v>
      </c>
      <c r="C1" s="1" t="s">
        <v>2</v>
      </c>
      <c r="D1" s="1" t="s">
        <v>3</v>
      </c>
      <c r="E1" s="1" t="s">
        <v>4</v>
      </c>
      <c r="F1" s="1" t="s">
        <v>5</v>
      </c>
      <c r="G1" s="1" t="s">
        <v>6</v>
      </c>
      <c r="H1" s="1" t="s">
        <v>7</v>
      </c>
      <c r="I1" s="1" t="s">
        <v>8</v>
      </c>
      <c r="J1" s="1" t="s">
        <v>9</v>
      </c>
      <c r="K1" s="1" t="s">
        <v>10</v>
      </c>
      <c r="L1" s="1" t="s">
        <v>11</v>
      </c>
      <c r="M1" s="1" t="s">
        <v>12</v>
      </c>
    </row>
    <row r="2" spans="1:13" ht="22.5" customHeight="1" x14ac:dyDescent="0.25">
      <c r="A2" s="2">
        <v>46286.004365914356</v>
      </c>
      <c r="B2" s="3" t="s">
        <v>13</v>
      </c>
      <c r="C2" s="3" t="s">
        <v>14</v>
      </c>
      <c r="D2" s="3" t="s">
        <v>15</v>
      </c>
      <c r="E2" s="3" t="s">
        <v>16</v>
      </c>
      <c r="F2" s="3" t="s">
        <v>17</v>
      </c>
      <c r="G2" s="3" t="s">
        <v>18</v>
      </c>
      <c r="H2" s="3" t="s">
        <v>19</v>
      </c>
      <c r="I2" s="3" t="s">
        <v>20</v>
      </c>
      <c r="J2" s="3">
        <v>4</v>
      </c>
      <c r="K2" s="3" t="s">
        <v>21</v>
      </c>
      <c r="L2" s="3" t="s">
        <v>22</v>
      </c>
      <c r="M2" s="3" t="s">
        <v>23</v>
      </c>
    </row>
    <row r="3" spans="1:13" ht="22.5" customHeight="1" x14ac:dyDescent="0.25">
      <c r="A3" s="2">
        <v>46286.013373182868</v>
      </c>
      <c r="B3" s="3" t="s">
        <v>24</v>
      </c>
      <c r="C3" s="3" t="s">
        <v>25</v>
      </c>
      <c r="D3" s="3" t="s">
        <v>15</v>
      </c>
      <c r="E3" s="3" t="s">
        <v>26</v>
      </c>
      <c r="F3" s="3" t="s">
        <v>17</v>
      </c>
      <c r="G3" s="3" t="s">
        <v>27</v>
      </c>
      <c r="H3" s="3" t="s">
        <v>28</v>
      </c>
      <c r="I3" s="3" t="s">
        <v>29</v>
      </c>
      <c r="J3" s="3">
        <v>3</v>
      </c>
      <c r="K3" s="3" t="s">
        <v>30</v>
      </c>
      <c r="L3" s="3" t="s">
        <v>31</v>
      </c>
      <c r="M3" s="3" t="s">
        <v>32</v>
      </c>
    </row>
    <row r="4" spans="1:13" ht="22.5" customHeight="1" x14ac:dyDescent="0.25">
      <c r="A4" s="2">
        <v>46286.015975925926</v>
      </c>
      <c r="B4" s="3" t="s">
        <v>13</v>
      </c>
      <c r="C4" s="3" t="s">
        <v>25</v>
      </c>
      <c r="D4" s="3" t="s">
        <v>15</v>
      </c>
      <c r="E4" s="3" t="s">
        <v>33</v>
      </c>
      <c r="F4" s="3" t="s">
        <v>17</v>
      </c>
      <c r="G4" s="3" t="s">
        <v>27</v>
      </c>
      <c r="H4" s="3" t="s">
        <v>28</v>
      </c>
      <c r="I4" s="3" t="s">
        <v>34</v>
      </c>
      <c r="J4" s="3">
        <v>3</v>
      </c>
      <c r="K4" s="3" t="s">
        <v>35</v>
      </c>
      <c r="L4" s="3" t="s">
        <v>36</v>
      </c>
      <c r="M4" s="3" t="s">
        <v>37</v>
      </c>
    </row>
    <row r="5" spans="1:13" ht="22.5" customHeight="1" x14ac:dyDescent="0.25">
      <c r="A5" s="2">
        <v>46286.017016655096</v>
      </c>
      <c r="B5" s="3" t="s">
        <v>13</v>
      </c>
      <c r="C5" s="3" t="s">
        <v>25</v>
      </c>
      <c r="D5" s="3" t="s">
        <v>38</v>
      </c>
      <c r="E5" s="3" t="s">
        <v>33</v>
      </c>
      <c r="F5" s="3" t="s">
        <v>17</v>
      </c>
      <c r="G5" s="3" t="s">
        <v>39</v>
      </c>
      <c r="H5" s="3" t="s">
        <v>40</v>
      </c>
      <c r="I5" s="3" t="s">
        <v>41</v>
      </c>
      <c r="J5" s="3">
        <v>4</v>
      </c>
      <c r="K5" s="3" t="s">
        <v>42</v>
      </c>
      <c r="L5" s="3" t="s">
        <v>43</v>
      </c>
      <c r="M5" s="3" t="s">
        <v>44</v>
      </c>
    </row>
    <row r="6" spans="1:13" ht="22.5" customHeight="1" x14ac:dyDescent="0.25">
      <c r="A6" s="2">
        <v>46286.111547199078</v>
      </c>
      <c r="B6" s="3" t="s">
        <v>13</v>
      </c>
      <c r="C6" s="3" t="s">
        <v>25</v>
      </c>
      <c r="D6" s="3" t="s">
        <v>38</v>
      </c>
      <c r="E6" s="3" t="s">
        <v>16</v>
      </c>
      <c r="F6" s="3" t="s">
        <v>17</v>
      </c>
      <c r="G6" s="3" t="s">
        <v>27</v>
      </c>
      <c r="H6" s="3" t="s">
        <v>19</v>
      </c>
      <c r="I6" s="3" t="s">
        <v>45</v>
      </c>
      <c r="J6" s="3">
        <v>2</v>
      </c>
      <c r="K6" s="3" t="s">
        <v>42</v>
      </c>
      <c r="L6" s="3" t="s">
        <v>46</v>
      </c>
      <c r="M6" s="3" t="s">
        <v>47</v>
      </c>
    </row>
    <row r="7" spans="1:13" ht="22.5" customHeight="1" x14ac:dyDescent="0.25">
      <c r="A7" s="2">
        <v>46286.648092974538</v>
      </c>
      <c r="B7" s="3" t="s">
        <v>24</v>
      </c>
      <c r="C7" s="3" t="s">
        <v>25</v>
      </c>
      <c r="D7" s="3" t="s">
        <v>38</v>
      </c>
      <c r="E7" s="3" t="s">
        <v>26</v>
      </c>
      <c r="F7" s="3" t="s">
        <v>48</v>
      </c>
      <c r="G7" s="3" t="s">
        <v>49</v>
      </c>
      <c r="H7" s="3" t="s">
        <v>19</v>
      </c>
      <c r="I7" s="3" t="s">
        <v>20</v>
      </c>
      <c r="J7" s="3">
        <v>4</v>
      </c>
      <c r="K7" s="3" t="s">
        <v>35</v>
      </c>
      <c r="L7" s="3" t="s">
        <v>50</v>
      </c>
      <c r="M7" s="3" t="s">
        <v>51</v>
      </c>
    </row>
    <row r="8" spans="1:13" ht="22.5" customHeight="1" x14ac:dyDescent="0.25">
      <c r="A8" s="2">
        <v>46286.656824641206</v>
      </c>
      <c r="B8" s="3" t="s">
        <v>13</v>
      </c>
      <c r="C8" s="3" t="s">
        <v>25</v>
      </c>
      <c r="D8" s="3" t="s">
        <v>15</v>
      </c>
      <c r="E8" s="3" t="s">
        <v>26</v>
      </c>
      <c r="F8" s="3" t="s">
        <v>17</v>
      </c>
      <c r="G8" s="3" t="s">
        <v>52</v>
      </c>
      <c r="H8" s="3" t="s">
        <v>53</v>
      </c>
      <c r="I8" s="3" t="s">
        <v>34</v>
      </c>
      <c r="J8" s="3">
        <v>1</v>
      </c>
      <c r="K8" s="3" t="s">
        <v>54</v>
      </c>
      <c r="L8" s="3" t="s">
        <v>55</v>
      </c>
      <c r="M8" s="3" t="s">
        <v>56</v>
      </c>
    </row>
    <row r="9" spans="1:13" ht="22.5" customHeight="1" x14ac:dyDescent="0.25">
      <c r="A9" s="2">
        <v>46286.679824351857</v>
      </c>
      <c r="B9" s="3" t="s">
        <v>24</v>
      </c>
      <c r="C9" s="3" t="s">
        <v>25</v>
      </c>
      <c r="D9" s="3" t="s">
        <v>15</v>
      </c>
      <c r="E9" s="3" t="s">
        <v>33</v>
      </c>
      <c r="F9" s="3" t="s">
        <v>57</v>
      </c>
      <c r="G9" s="3" t="s">
        <v>49</v>
      </c>
      <c r="H9" s="3" t="s">
        <v>19</v>
      </c>
      <c r="I9" s="3" t="s">
        <v>58</v>
      </c>
      <c r="J9" s="3">
        <v>3</v>
      </c>
      <c r="K9" s="3" t="s">
        <v>52</v>
      </c>
      <c r="L9" s="3" t="s">
        <v>31</v>
      </c>
      <c r="M9" s="3" t="s">
        <v>59</v>
      </c>
    </row>
    <row r="10" spans="1:13" ht="22.5" customHeight="1" x14ac:dyDescent="0.25">
      <c r="A10" s="2">
        <v>46286.715957719905</v>
      </c>
      <c r="B10" s="3" t="s">
        <v>24</v>
      </c>
      <c r="C10" s="3" t="s">
        <v>25</v>
      </c>
      <c r="D10" s="3" t="s">
        <v>60</v>
      </c>
      <c r="E10" s="3" t="s">
        <v>26</v>
      </c>
      <c r="F10" s="3" t="s">
        <v>17</v>
      </c>
      <c r="G10" s="3" t="s">
        <v>49</v>
      </c>
      <c r="H10" s="3" t="s">
        <v>19</v>
      </c>
      <c r="I10" s="3" t="s">
        <v>61</v>
      </c>
      <c r="J10" s="3">
        <v>3</v>
      </c>
      <c r="K10" s="3" t="s">
        <v>62</v>
      </c>
      <c r="L10" s="3" t="s">
        <v>63</v>
      </c>
      <c r="M10" s="3" t="s">
        <v>64</v>
      </c>
    </row>
    <row r="11" spans="1:13" ht="22.5" customHeight="1" x14ac:dyDescent="0.25">
      <c r="A11" s="2">
        <v>46286.755069062499</v>
      </c>
      <c r="B11" s="3" t="s">
        <v>65</v>
      </c>
      <c r="C11" s="3" t="s">
        <v>52</v>
      </c>
      <c r="D11" s="3" t="s">
        <v>38</v>
      </c>
      <c r="E11" s="3" t="s">
        <v>26</v>
      </c>
      <c r="F11" s="3" t="s">
        <v>17</v>
      </c>
      <c r="G11" s="3" t="s">
        <v>39</v>
      </c>
      <c r="H11" s="3" t="s">
        <v>53</v>
      </c>
      <c r="I11" s="3" t="s">
        <v>66</v>
      </c>
      <c r="J11" s="3">
        <v>4</v>
      </c>
      <c r="K11" s="3" t="s">
        <v>21</v>
      </c>
      <c r="L11" s="3" t="s">
        <v>67</v>
      </c>
      <c r="M11" s="3" t="s">
        <v>68</v>
      </c>
    </row>
    <row r="12" spans="1:13" ht="22.5" customHeight="1" x14ac:dyDescent="0.25">
      <c r="A12" s="2">
        <v>46286.768474166667</v>
      </c>
      <c r="B12" s="3" t="s">
        <v>13</v>
      </c>
      <c r="C12" s="3" t="s">
        <v>14</v>
      </c>
      <c r="D12" s="3" t="s">
        <v>60</v>
      </c>
      <c r="E12" s="3" t="s">
        <v>26</v>
      </c>
      <c r="F12" s="3" t="s">
        <v>57</v>
      </c>
      <c r="G12" s="3" t="s">
        <v>18</v>
      </c>
      <c r="H12" s="3" t="s">
        <v>19</v>
      </c>
      <c r="I12" s="3" t="s">
        <v>69</v>
      </c>
      <c r="J12" s="3">
        <v>4</v>
      </c>
      <c r="K12" s="3" t="s">
        <v>62</v>
      </c>
      <c r="L12" s="3" t="s">
        <v>36</v>
      </c>
      <c r="M12" s="3" t="s">
        <v>70</v>
      </c>
    </row>
    <row r="13" spans="1:13" ht="22.5" customHeight="1" x14ac:dyDescent="0.25">
      <c r="A13" s="2">
        <v>46286.812339791664</v>
      </c>
      <c r="B13" s="3" t="s">
        <v>13</v>
      </c>
      <c r="C13" s="3" t="s">
        <v>25</v>
      </c>
      <c r="D13" s="3" t="s">
        <v>38</v>
      </c>
      <c r="E13" s="3" t="s">
        <v>33</v>
      </c>
      <c r="F13" s="3" t="s">
        <v>71</v>
      </c>
      <c r="G13" s="3" t="s">
        <v>27</v>
      </c>
      <c r="H13" s="3" t="s">
        <v>19</v>
      </c>
      <c r="I13" s="3" t="s">
        <v>72</v>
      </c>
      <c r="J13" s="3">
        <v>2</v>
      </c>
      <c r="K13" s="3" t="s">
        <v>21</v>
      </c>
      <c r="L13" s="3" t="s">
        <v>73</v>
      </c>
      <c r="M13" s="3" t="s">
        <v>74</v>
      </c>
    </row>
    <row r="14" spans="1:13" ht="22.5" customHeight="1" x14ac:dyDescent="0.25">
      <c r="A14" s="2">
        <v>46286.830607581018</v>
      </c>
      <c r="B14" s="3" t="s">
        <v>13</v>
      </c>
      <c r="C14" s="3" t="s">
        <v>25</v>
      </c>
      <c r="D14" s="3" t="s">
        <v>60</v>
      </c>
      <c r="E14" s="3" t="s">
        <v>26</v>
      </c>
      <c r="F14" s="3" t="s">
        <v>75</v>
      </c>
      <c r="G14" s="3" t="s">
        <v>52</v>
      </c>
      <c r="H14" s="3" t="s">
        <v>19</v>
      </c>
      <c r="I14" s="3" t="s">
        <v>76</v>
      </c>
      <c r="J14" s="3">
        <v>4</v>
      </c>
      <c r="K14" s="3" t="s">
        <v>21</v>
      </c>
      <c r="L14" s="3" t="s">
        <v>77</v>
      </c>
      <c r="M14" s="3" t="s">
        <v>78</v>
      </c>
    </row>
    <row r="15" spans="1:13" ht="22.5" customHeight="1" x14ac:dyDescent="0.25">
      <c r="A15" s="2">
        <v>46286.873820821755</v>
      </c>
      <c r="B15" s="3" t="s">
        <v>13</v>
      </c>
      <c r="C15" s="3" t="s">
        <v>52</v>
      </c>
      <c r="D15" s="3" t="s">
        <v>79</v>
      </c>
      <c r="E15" s="3" t="s">
        <v>26</v>
      </c>
      <c r="F15" s="3" t="s">
        <v>80</v>
      </c>
      <c r="G15" s="3" t="s">
        <v>81</v>
      </c>
      <c r="H15" s="3" t="s">
        <v>19</v>
      </c>
      <c r="I15" s="3" t="s">
        <v>72</v>
      </c>
      <c r="J15" s="3">
        <v>1</v>
      </c>
      <c r="K15" s="3" t="s">
        <v>62</v>
      </c>
      <c r="L15" s="3" t="s">
        <v>73</v>
      </c>
      <c r="M15" s="3" t="s">
        <v>82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4C6A5-1972-4D64-A576-E0E8CEFCB171}">
  <sheetPr>
    <outlinePr summaryBelow="0" summaryRight="0"/>
  </sheetPr>
  <dimension ref="A1:AS15"/>
  <sheetViews>
    <sheetView tabSelected="1" topLeftCell="AG1" workbookViewId="0">
      <pane ySplit="1" topLeftCell="A2" activePane="bottomLeft" state="frozen"/>
      <selection pane="bottomLeft" activeCell="AI3" sqref="AI3"/>
    </sheetView>
  </sheetViews>
  <sheetFormatPr defaultColWidth="12.6640625" defaultRowHeight="15.75" customHeight="1" x14ac:dyDescent="0.25"/>
  <cols>
    <col min="1" max="1" width="18.88671875" style="5" customWidth="1"/>
    <col min="2" max="2" width="22.33203125" customWidth="1"/>
    <col min="3" max="3" width="24.77734375" customWidth="1"/>
    <col min="4" max="7" width="37.6640625" customWidth="1"/>
    <col min="8" max="8" width="34.88671875" customWidth="1"/>
    <col min="9" max="9" width="35" customWidth="1"/>
    <col min="10" max="10" width="37.6640625" customWidth="1"/>
    <col min="11" max="11" width="34.6640625" customWidth="1"/>
    <col min="12" max="12" width="72.77734375" customWidth="1"/>
    <col min="13" max="13" width="49.6640625" customWidth="1"/>
    <col min="14" max="19" width="18.88671875" customWidth="1"/>
    <col min="22" max="22" width="17.88671875" customWidth="1"/>
    <col min="23" max="23" width="17.44140625" customWidth="1"/>
    <col min="24" max="24" width="15.6640625" customWidth="1"/>
    <col min="26" max="26" width="17.21875" customWidth="1"/>
    <col min="29" max="29" width="16.21875" customWidth="1"/>
    <col min="30" max="30" width="19.88671875" customWidth="1"/>
    <col min="31" max="31" width="21.109375" customWidth="1"/>
    <col min="32" max="32" width="15.6640625" customWidth="1"/>
    <col min="33" max="33" width="21.88671875" customWidth="1"/>
    <col min="34" max="34" width="22.44140625" customWidth="1"/>
    <col min="35" max="35" width="17" customWidth="1"/>
    <col min="36" max="36" width="20.21875" customWidth="1"/>
    <col min="37" max="37" width="15.44140625" customWidth="1"/>
    <col min="38" max="38" width="20.109375" customWidth="1"/>
    <col min="39" max="39" width="18.77734375" customWidth="1"/>
    <col min="40" max="40" width="19.33203125" customWidth="1"/>
    <col min="41" max="41" width="21.109375" customWidth="1"/>
    <col min="42" max="42" width="24.33203125" customWidth="1"/>
    <col min="43" max="43" width="20.77734375" customWidth="1"/>
    <col min="44" max="44" width="18.109375" customWidth="1"/>
    <col min="45" max="45" width="19.21875" customWidth="1"/>
  </cols>
  <sheetData>
    <row r="1" spans="1:45" ht="22.5" customHeight="1" x14ac:dyDescent="0.25">
      <c r="A1" s="4" t="s">
        <v>0</v>
      </c>
      <c r="B1" s="1" t="s">
        <v>84</v>
      </c>
      <c r="C1" s="1" t="s">
        <v>83</v>
      </c>
      <c r="D1" s="1" t="s">
        <v>85</v>
      </c>
      <c r="E1" s="1" t="s">
        <v>86</v>
      </c>
      <c r="F1" s="1" t="s">
        <v>87</v>
      </c>
      <c r="G1" s="1" t="s">
        <v>88</v>
      </c>
      <c r="H1" s="1" t="s">
        <v>89</v>
      </c>
      <c r="I1" s="1" t="s">
        <v>90</v>
      </c>
      <c r="J1" s="1" t="s">
        <v>91</v>
      </c>
      <c r="K1" s="1" t="s">
        <v>92</v>
      </c>
      <c r="L1" s="1" t="s">
        <v>93</v>
      </c>
      <c r="M1" s="1" t="s">
        <v>94</v>
      </c>
      <c r="N1" s="6" t="s">
        <v>101</v>
      </c>
      <c r="O1" s="6" t="s">
        <v>102</v>
      </c>
      <c r="P1" s="6" t="s">
        <v>103</v>
      </c>
      <c r="Q1" s="6" t="s">
        <v>104</v>
      </c>
      <c r="R1" s="6" t="s">
        <v>105</v>
      </c>
      <c r="S1" s="6" t="s">
        <v>106</v>
      </c>
      <c r="T1" s="6" t="s">
        <v>107</v>
      </c>
      <c r="U1" s="6" t="s">
        <v>108</v>
      </c>
      <c r="V1" s="6" t="s">
        <v>109</v>
      </c>
      <c r="W1" s="6" t="s">
        <v>110</v>
      </c>
      <c r="X1" s="6" t="s">
        <v>111</v>
      </c>
      <c r="Y1" s="6" t="s">
        <v>112</v>
      </c>
      <c r="Z1" s="6" t="s">
        <v>113</v>
      </c>
      <c r="AA1" s="6" t="s">
        <v>114</v>
      </c>
      <c r="AB1" s="6" t="s">
        <v>115</v>
      </c>
      <c r="AC1" s="6" t="s">
        <v>116</v>
      </c>
      <c r="AD1" s="6" t="s">
        <v>117</v>
      </c>
      <c r="AE1" s="6" t="s">
        <v>118</v>
      </c>
      <c r="AF1" s="6" t="s">
        <v>119</v>
      </c>
      <c r="AG1" t="s">
        <v>120</v>
      </c>
      <c r="AH1" t="s">
        <v>121</v>
      </c>
      <c r="AI1" t="s">
        <v>122</v>
      </c>
      <c r="AJ1" t="s">
        <v>123</v>
      </c>
      <c r="AK1" t="s">
        <v>124</v>
      </c>
      <c r="AL1" s="6" t="s">
        <v>161</v>
      </c>
      <c r="AM1" s="6" t="s">
        <v>162</v>
      </c>
      <c r="AN1" s="6" t="s">
        <v>168</v>
      </c>
      <c r="AO1" s="6" t="s">
        <v>163</v>
      </c>
      <c r="AP1" s="6" t="s">
        <v>164</v>
      </c>
      <c r="AQ1" s="6" t="s">
        <v>165</v>
      </c>
      <c r="AR1" s="6" t="s">
        <v>166</v>
      </c>
      <c r="AS1" s="6" t="s">
        <v>167</v>
      </c>
    </row>
    <row r="2" spans="1:45" ht="22.5" customHeight="1" x14ac:dyDescent="0.25">
      <c r="A2" s="2">
        <v>46286.656824641206</v>
      </c>
      <c r="B2" s="3" t="s">
        <v>13</v>
      </c>
      <c r="C2" s="3" t="s">
        <v>25</v>
      </c>
      <c r="D2" s="3" t="s">
        <v>15</v>
      </c>
      <c r="E2" s="3" t="s">
        <v>26</v>
      </c>
      <c r="F2" s="3" t="s">
        <v>17</v>
      </c>
      <c r="G2" s="3" t="s">
        <v>52</v>
      </c>
      <c r="H2" s="3" t="s">
        <v>53</v>
      </c>
      <c r="I2" s="3" t="s">
        <v>34</v>
      </c>
      <c r="J2" s="8">
        <v>1</v>
      </c>
      <c r="K2" s="3" t="s">
        <v>54</v>
      </c>
      <c r="L2" s="3" t="s">
        <v>55</v>
      </c>
      <c r="M2" s="7" t="s">
        <v>99</v>
      </c>
      <c r="N2">
        <f>--ISNUMBER(SEARCH("Comfort",Form_Responses3[[#This Row],[Purchase_Factors]]))</f>
        <v>1</v>
      </c>
      <c r="O2">
        <f>--ISNUMBER(SEARCH("Price",Form_Responses3[[#This Row],[Purchase_Factors]]))</f>
        <v>0</v>
      </c>
      <c r="P2">
        <f>--ISNUMBER(SEARCH("Style",Form_Responses3[[#This Row],[Purchase_Factors]]))</f>
        <v>0</v>
      </c>
      <c r="Q2">
        <f>--ISNUMBER(SEARCH("Quality",Form_Responses3[[#This Row],[Purchase_Factors]]))</f>
        <v>0</v>
      </c>
      <c r="R2">
        <f>--ISNUMBER(SEARCH("Durability",Form_Responses3[[#This Row],[Purchase_Factors]]))</f>
        <v>0</v>
      </c>
      <c r="S2">
        <f>--ISNUMBER(SEARCH("Brand",Form_Responses3[[#This Row],[Purchase_Factors]]))</f>
        <v>0</v>
      </c>
      <c r="T2">
        <f>--ISNUMBER(SEARCH("Discount",Form_Responses3[[#This Row],[Purchase_Factors]]))</f>
        <v>0</v>
      </c>
      <c r="U2">
        <f>--ISNUMBER(SEARCH("Reviews",Form_Responses3[[#This Row],[Purchase_Factors]]))</f>
        <v>0</v>
      </c>
      <c r="V2">
        <f>--ISNUMBER(SEARCH("Latest Trends",Form_Responses3[[#This Row],[Purchase_Factors]]))</f>
        <v>0</v>
      </c>
      <c r="W2">
        <f>--ISNUMBER(SEARCH("Comfortable",Form_Responses3[[#This Row],[Bata_Perception]]))</f>
        <v>0</v>
      </c>
      <c r="X2">
        <f>--ISNUMBER(SEARCH("Affordable",Form_Responses3[[#This Row],[Bata_Perception]]))</f>
        <v>0</v>
      </c>
      <c r="Y2">
        <f>--ISNUMBER(SEARCH("Reliable",Form_Responses3[[#This Row],[Bata_Perception]]))</f>
        <v>1</v>
      </c>
      <c r="Z2">
        <f>--ISNUMBER(SEARCH("Good Quality",Form_Responses3[[#This Row],[Bata_Perception]]))</f>
        <v>0</v>
      </c>
      <c r="AA2">
        <f>--ISNUMBER(SEARCH("Stylish",Form_Responses3[[#This Row],[Bata_Perception]]))</f>
        <v>0</v>
      </c>
      <c r="AB2">
        <f>--ISNUMBER(SEARCH("Trendy",Form_Responses3[[#This Row],[Bata_Perception]]))</f>
        <v>0</v>
      </c>
      <c r="AC2">
        <f>--ISNUMBER(SEARCH("Traditional",Form_Responses3[[#This Row],[Bata_Perception]]))</f>
        <v>0</v>
      </c>
      <c r="AD2">
        <f>--ISNUMBER(SEARCH("Youth Friendly",Form_Responses3[[#This Row],[Bata_Perception]]))</f>
        <v>0</v>
      </c>
      <c r="AE2">
        <f>--ISNUMBER(SEARCH("Easily Available",Form_Responses3[[#This Row],[Bata_Perception]]))</f>
        <v>0</v>
      </c>
      <c r="AF2">
        <f>--ISNUMBER(SEARCH("Not Sure",Form_Responses3[[#This Row],[Bata_Perception]]))</f>
        <v>0</v>
      </c>
      <c r="AG2" t="str">
        <f>IF(OR(Form_Responses3[[#This Row],[Bata_Purchase_History]]="Yes, recently",Form_Responses3[[#This Row],[Bata_Purchase_History]]="Yes, but long ago"), "Yes", "No")</f>
        <v>Yes</v>
      </c>
      <c r="AH2" t="str">
        <f>IF(Form_Responses3[[#This Row],[Purchase_Likelihood]]&lt;=2,"Low",IF(Form_Responses3[[#This Row],[Purchase_Likelihood]]=3,"Neutral","High"))</f>
        <v>Low</v>
      </c>
      <c r="AI2">
        <f>_xlfn.SWITCH(Form_Responses3[[#This Row],[Spending_Range]],
"Below ₹1,000",1,
"₹1,000–1,999",2,
"₹2,000–2,999",3,
"₹3,000–4,999",4,
"₹5,000+",5,
"")</f>
        <v>1</v>
      </c>
      <c r="AJ2">
        <f>SUM(Form_Responses3[[#This Row],[PF_Comfort]:[PF_Latest_Trends]])</f>
        <v>1</v>
      </c>
      <c r="AK2">
        <v>1</v>
      </c>
      <c r="AL2">
        <f>--ISNUMBER(SEARCH("Trendier designs",Form_Responses3[[#This Row],[Desired_Improvement]]))</f>
        <v>0</v>
      </c>
      <c r="AM2">
        <f>--ISNUMBER(SEARCH("More Sneakers",Form_Responses3[[#This Row],[Desired_Improvement]]))</f>
        <v>1</v>
      </c>
      <c r="AN2">
        <f>--ISNUMBER(SEARCH("Student friendly prices",Form_Responses3[[#This Row],[Desired_Improvement]]))</f>
        <v>0</v>
      </c>
      <c r="AO2">
        <f>--ISNUMBER(SEARCH("Influencer Collaborations",Form_Responses3[[#This Row],[Desired_Improvement]]))</f>
        <v>0</v>
      </c>
      <c r="AP2">
        <f>--ISNUMBER(SEARCH("Better Social Media",Form_Responses3[[#This Row],[Desired_Improvement]]))</f>
        <v>0</v>
      </c>
      <c r="AQ2">
        <f>--ISNUMBER(SEARCH("Limited-edited collections",Form_Responses3[[#This Row],[Desired_Improvement]]))</f>
        <v>0</v>
      </c>
      <c r="AR2">
        <f>--ISNUMBER(SEARCH("Better online shopping",Form_Responses3[[#This Row],[Desired_Improvement]]))</f>
        <v>0</v>
      </c>
      <c r="AS2">
        <f>--ISNUMBER(SEARCH("Loyalty rewards",Form_Responses3[[#This Row],[Desired_Improvement]]))</f>
        <v>1</v>
      </c>
    </row>
    <row r="3" spans="1:45" ht="22.5" customHeight="1" x14ac:dyDescent="0.25">
      <c r="A3" s="2">
        <v>46286.873820821755</v>
      </c>
      <c r="B3" s="3" t="s">
        <v>13</v>
      </c>
      <c r="C3" s="3" t="s">
        <v>52</v>
      </c>
      <c r="D3" s="3" t="s">
        <v>79</v>
      </c>
      <c r="E3" s="3" t="s">
        <v>26</v>
      </c>
      <c r="F3" s="3" t="s">
        <v>80</v>
      </c>
      <c r="G3" s="3" t="s">
        <v>81</v>
      </c>
      <c r="H3" s="3" t="s">
        <v>19</v>
      </c>
      <c r="I3" s="3" t="s">
        <v>72</v>
      </c>
      <c r="J3" s="8">
        <v>1</v>
      </c>
      <c r="K3" s="3" t="s">
        <v>62</v>
      </c>
      <c r="L3" s="3" t="s">
        <v>73</v>
      </c>
      <c r="M3" s="3" t="s">
        <v>82</v>
      </c>
      <c r="N3">
        <f>--ISNUMBER(SEARCH("Comfort",Form_Responses3[[#This Row],[Purchase_Factors]]))</f>
        <v>1</v>
      </c>
      <c r="O3">
        <f>--ISNUMBER(SEARCH("Price",Form_Responses3[[#This Row],[Purchase_Factors]]))</f>
        <v>0</v>
      </c>
      <c r="P3">
        <f>--ISNUMBER(SEARCH("Style",Form_Responses3[[#This Row],[Purchase_Factors]]))</f>
        <v>1</v>
      </c>
      <c r="Q3">
        <f>--ISNUMBER(SEARCH("Quality",Form_Responses3[[#This Row],[Purchase_Factors]]))</f>
        <v>1</v>
      </c>
      <c r="R3">
        <f>--ISNUMBER(SEARCH("Durability",Form_Responses3[[#This Row],[Purchase_Factors]]))</f>
        <v>0</v>
      </c>
      <c r="S3">
        <f>--ISNUMBER(SEARCH("Brand",Form_Responses3[[#This Row],[Purchase_Factors]]))</f>
        <v>0</v>
      </c>
      <c r="T3">
        <f>--ISNUMBER(SEARCH("Discount",Form_Responses3[[#This Row],[Purchase_Factors]]))</f>
        <v>0</v>
      </c>
      <c r="U3">
        <f>--ISNUMBER(SEARCH("Reviews",Form_Responses3[[#This Row],[Purchase_Factors]]))</f>
        <v>0</v>
      </c>
      <c r="V3">
        <f>--ISNUMBER(SEARCH("Latest Trends",Form_Responses3[[#This Row],[Purchase_Factors]]))</f>
        <v>1</v>
      </c>
      <c r="W3">
        <f>--ISNUMBER(SEARCH("Comfortable",Form_Responses3[[#This Row],[Bata_Perception]]))</f>
        <v>0</v>
      </c>
      <c r="X3">
        <f>--ISNUMBER(SEARCH("Affordable",Form_Responses3[[#This Row],[Bata_Perception]]))</f>
        <v>1</v>
      </c>
      <c r="Y3">
        <f>--ISNUMBER(SEARCH("Reliable",Form_Responses3[[#This Row],[Bata_Perception]]))</f>
        <v>0</v>
      </c>
      <c r="Z3">
        <f>--ISNUMBER(SEARCH("Good Quality",Form_Responses3[[#This Row],[Bata_Perception]]))</f>
        <v>0</v>
      </c>
      <c r="AA3">
        <f>--ISNUMBER(SEARCH("Stylish",Form_Responses3[[#This Row],[Bata_Perception]]))</f>
        <v>0</v>
      </c>
      <c r="AB3">
        <f>--ISNUMBER(SEARCH("Trendy",Form_Responses3[[#This Row],[Bata_Perception]]))</f>
        <v>0</v>
      </c>
      <c r="AC3">
        <f>--ISNUMBER(SEARCH("Traditional",Form_Responses3[[#This Row],[Bata_Perception]]))</f>
        <v>0</v>
      </c>
      <c r="AD3">
        <f>--ISNUMBER(SEARCH("Youth Friendly",Form_Responses3[[#This Row],[Bata_Perception]]))</f>
        <v>0</v>
      </c>
      <c r="AE3">
        <f>--ISNUMBER(SEARCH("Easily Available",Form_Responses3[[#This Row],[Bata_Perception]]))</f>
        <v>0</v>
      </c>
      <c r="AF3">
        <f>--ISNUMBER(SEARCH("Not Sure",Form_Responses3[[#This Row],[Bata_Perception]]))</f>
        <v>0</v>
      </c>
      <c r="AG3" t="str">
        <f>IF(OR(Form_Responses3[[#This Row],[Bata_Purchase_History]]="Yes, recently",Form_Responses3[[#This Row],[Bata_Purchase_History]]="Yes, but long ago"), "Yes", "No")</f>
        <v>Yes</v>
      </c>
      <c r="AH3" t="str">
        <f>IF(Form_Responses3[[#This Row],[Purchase_Likelihood]]&lt;=2,"Low",IF(Form_Responses3[[#This Row],[Purchase_Likelihood]]=3,"Neutral","High"))</f>
        <v>Low</v>
      </c>
      <c r="AI3">
        <f>_xlfn.SWITCH(Form_Responses3[[#This Row],[Spending_Range]],
"Below ₹1,000",1,
"₹1,000–1,999",2,
"₹2,000–2,999",3,
"₹3,000–4,999",4,
"₹5,000+",5,
"")</f>
        <v>5</v>
      </c>
      <c r="AJ3">
        <f>SUM(Form_Responses3[[#This Row],[PF_Comfort]:[PF_Latest_Trends]])</f>
        <v>4</v>
      </c>
      <c r="AK3">
        <v>2</v>
      </c>
      <c r="AL3">
        <f>--ISNUMBER(SEARCH("Trendier designs",Form_Responses3[[#This Row],[Desired_Improvement]]))</f>
        <v>1</v>
      </c>
      <c r="AM3">
        <f>--ISNUMBER(SEARCH("More Sneakers",Form_Responses3[[#This Row],[Desired_Improvement]]))</f>
        <v>0</v>
      </c>
      <c r="AN3">
        <f>--ISNUMBER(SEARCH("Student friendly prices",Form_Responses3[[#This Row],[Desired_Improvement]]))</f>
        <v>0</v>
      </c>
      <c r="AO3">
        <f>--ISNUMBER(SEARCH("Influencer Collaborations",Form_Responses3[[#This Row],[Desired_Improvement]]))</f>
        <v>0</v>
      </c>
      <c r="AP3">
        <f>--ISNUMBER(SEARCH("Better Social Media",Form_Responses3[[#This Row],[Desired_Improvement]]))</f>
        <v>0</v>
      </c>
      <c r="AQ3">
        <f>--ISNUMBER(SEARCH("Limited-edited collections",Form_Responses3[[#This Row],[Desired_Improvement]]))</f>
        <v>0</v>
      </c>
      <c r="AR3">
        <f>--ISNUMBER(SEARCH("Better online shopping",Form_Responses3[[#This Row],[Desired_Improvement]]))</f>
        <v>0</v>
      </c>
      <c r="AS3">
        <f>--ISNUMBER(SEARCH("Loyalty rewards",Form_Responses3[[#This Row],[Desired_Improvement]]))</f>
        <v>0</v>
      </c>
    </row>
    <row r="4" spans="1:45" ht="22.5" customHeight="1" x14ac:dyDescent="0.25">
      <c r="A4" s="2">
        <v>46286.111547199078</v>
      </c>
      <c r="B4" s="3" t="s">
        <v>13</v>
      </c>
      <c r="C4" s="3" t="s">
        <v>25</v>
      </c>
      <c r="D4" s="3" t="s">
        <v>38</v>
      </c>
      <c r="E4" s="3" t="s">
        <v>16</v>
      </c>
      <c r="F4" s="3" t="s">
        <v>17</v>
      </c>
      <c r="G4" s="3" t="s">
        <v>27</v>
      </c>
      <c r="H4" s="3" t="s">
        <v>19</v>
      </c>
      <c r="I4" s="3" t="s">
        <v>45</v>
      </c>
      <c r="J4" s="8">
        <v>2</v>
      </c>
      <c r="K4" s="3" t="s">
        <v>95</v>
      </c>
      <c r="L4" s="3" t="s">
        <v>46</v>
      </c>
      <c r="M4" s="3" t="s">
        <v>47</v>
      </c>
      <c r="N4">
        <f>--ISNUMBER(SEARCH("Comfort",Form_Responses3[[#This Row],[Purchase_Factors]]))</f>
        <v>1</v>
      </c>
      <c r="O4">
        <f>--ISNUMBER(SEARCH("Price",Form_Responses3[[#This Row],[Purchase_Factors]]))</f>
        <v>0</v>
      </c>
      <c r="P4">
        <f>--ISNUMBER(SEARCH("Style",Form_Responses3[[#This Row],[Purchase_Factors]]))</f>
        <v>0</v>
      </c>
      <c r="Q4">
        <f>--ISNUMBER(SEARCH("Quality",Form_Responses3[[#This Row],[Purchase_Factors]]))</f>
        <v>0</v>
      </c>
      <c r="R4">
        <f>--ISNUMBER(SEARCH("Durability",Form_Responses3[[#This Row],[Purchase_Factors]]))</f>
        <v>0</v>
      </c>
      <c r="S4">
        <f>--ISNUMBER(SEARCH("Brand",Form_Responses3[[#This Row],[Purchase_Factors]]))</f>
        <v>0</v>
      </c>
      <c r="T4">
        <f>--ISNUMBER(SEARCH("Discount",Form_Responses3[[#This Row],[Purchase_Factors]]))</f>
        <v>0</v>
      </c>
      <c r="U4">
        <f>--ISNUMBER(SEARCH("Reviews",Form_Responses3[[#This Row],[Purchase_Factors]]))</f>
        <v>0</v>
      </c>
      <c r="V4">
        <f>--ISNUMBER(SEARCH("Latest Trends",Form_Responses3[[#This Row],[Purchase_Factors]]))</f>
        <v>0</v>
      </c>
      <c r="W4">
        <f>--ISNUMBER(SEARCH("Comfortable",Form_Responses3[[#This Row],[Bata_Perception]]))</f>
        <v>0</v>
      </c>
      <c r="X4">
        <f>--ISNUMBER(SEARCH("Affordable",Form_Responses3[[#This Row],[Bata_Perception]]))</f>
        <v>1</v>
      </c>
      <c r="Y4">
        <f>--ISNUMBER(SEARCH("Reliable",Form_Responses3[[#This Row],[Bata_Perception]]))</f>
        <v>0</v>
      </c>
      <c r="Z4">
        <f>--ISNUMBER(SEARCH("Good Quality",Form_Responses3[[#This Row],[Bata_Perception]]))</f>
        <v>1</v>
      </c>
      <c r="AA4">
        <f>--ISNUMBER(SEARCH("Stylish",Form_Responses3[[#This Row],[Bata_Perception]]))</f>
        <v>0</v>
      </c>
      <c r="AB4">
        <f>--ISNUMBER(SEARCH("Trendy",Form_Responses3[[#This Row],[Bata_Perception]]))</f>
        <v>0</v>
      </c>
      <c r="AC4">
        <f>--ISNUMBER(SEARCH("Traditional",Form_Responses3[[#This Row],[Bata_Perception]]))</f>
        <v>0</v>
      </c>
      <c r="AD4">
        <f>--ISNUMBER(SEARCH("Youth Friendly",Form_Responses3[[#This Row],[Bata_Perception]]))</f>
        <v>0</v>
      </c>
      <c r="AE4">
        <f>--ISNUMBER(SEARCH("Easily Available",Form_Responses3[[#This Row],[Bata_Perception]]))</f>
        <v>1</v>
      </c>
      <c r="AF4">
        <f>--ISNUMBER(SEARCH("Not Sure",Form_Responses3[[#This Row],[Bata_Perception]]))</f>
        <v>0</v>
      </c>
      <c r="AG4" t="str">
        <f>IF(OR(Form_Responses3[[#This Row],[Bata_Purchase_History]]="Yes, recently",Form_Responses3[[#This Row],[Bata_Purchase_History]]="Yes, but long ago"), "Yes", "No")</f>
        <v>Yes</v>
      </c>
      <c r="AH4" t="str">
        <f>IF(Form_Responses3[[#This Row],[Purchase_Likelihood]]&lt;=2,"Low",IF(Form_Responses3[[#This Row],[Purchase_Likelihood]]=3,"Neutral","High"))</f>
        <v>Low</v>
      </c>
      <c r="AI4">
        <f>_xlfn.SWITCH(Form_Responses3[[#This Row],[Spending_Range]],
"Below ₹1,000",1,
"₹1,000–1,999",2,
"₹2,000–2,999",3,
"₹3,000–4,999",4,
"₹5,000+",5,
"")</f>
        <v>2</v>
      </c>
      <c r="AJ4">
        <f>SUM(Form_Responses3[[#This Row],[PF_Comfort]:[PF_Latest_Trends]])</f>
        <v>1</v>
      </c>
      <c r="AK4">
        <v>3</v>
      </c>
      <c r="AL4">
        <f>--ISNUMBER(SEARCH("Trendier designs",Form_Responses3[[#This Row],[Desired_Improvement]]))</f>
        <v>1</v>
      </c>
      <c r="AM4">
        <f>--ISNUMBER(SEARCH("More Sneakers",Form_Responses3[[#This Row],[Desired_Improvement]]))</f>
        <v>1</v>
      </c>
      <c r="AN4">
        <f>--ISNUMBER(SEARCH("Student friendly prices",Form_Responses3[[#This Row],[Desired_Improvement]]))</f>
        <v>0</v>
      </c>
      <c r="AO4">
        <f>--ISNUMBER(SEARCH("Influencer Collaborations",Form_Responses3[[#This Row],[Desired_Improvement]]))</f>
        <v>0</v>
      </c>
      <c r="AP4">
        <f>--ISNUMBER(SEARCH("Better Social Media",Form_Responses3[[#This Row],[Desired_Improvement]]))</f>
        <v>0</v>
      </c>
      <c r="AQ4">
        <f>--ISNUMBER(SEARCH("Limited-edited collections",Form_Responses3[[#This Row],[Desired_Improvement]]))</f>
        <v>0</v>
      </c>
      <c r="AR4">
        <f>--ISNUMBER(SEARCH("Better online shopping",Form_Responses3[[#This Row],[Desired_Improvement]]))</f>
        <v>0</v>
      </c>
      <c r="AS4">
        <f>--ISNUMBER(SEARCH("Loyalty rewards",Form_Responses3[[#This Row],[Desired_Improvement]]))</f>
        <v>0</v>
      </c>
    </row>
    <row r="5" spans="1:45" ht="22.5" customHeight="1" x14ac:dyDescent="0.25">
      <c r="A5" s="2">
        <v>46286.812339791664</v>
      </c>
      <c r="B5" s="3" t="s">
        <v>13</v>
      </c>
      <c r="C5" s="3" t="s">
        <v>25</v>
      </c>
      <c r="D5" s="3" t="s">
        <v>38</v>
      </c>
      <c r="E5" s="3" t="s">
        <v>33</v>
      </c>
      <c r="F5" s="3" t="s">
        <v>71</v>
      </c>
      <c r="G5" s="3" t="s">
        <v>27</v>
      </c>
      <c r="H5" s="3" t="s">
        <v>19</v>
      </c>
      <c r="I5" s="3" t="s">
        <v>72</v>
      </c>
      <c r="J5" s="8">
        <v>2</v>
      </c>
      <c r="K5" s="3" t="s">
        <v>21</v>
      </c>
      <c r="L5" s="3" t="s">
        <v>73</v>
      </c>
      <c r="M5" s="3" t="s">
        <v>97</v>
      </c>
      <c r="N5">
        <f>--ISNUMBER(SEARCH("Comfort",Form_Responses3[[#This Row],[Purchase_Factors]]))</f>
        <v>0</v>
      </c>
      <c r="O5">
        <f>--ISNUMBER(SEARCH("Price",Form_Responses3[[#This Row],[Purchase_Factors]]))</f>
        <v>0</v>
      </c>
      <c r="P5">
        <f>--ISNUMBER(SEARCH("Style",Form_Responses3[[#This Row],[Purchase_Factors]]))</f>
        <v>0</v>
      </c>
      <c r="Q5">
        <f>--ISNUMBER(SEARCH("Quality",Form_Responses3[[#This Row],[Purchase_Factors]]))</f>
        <v>0</v>
      </c>
      <c r="R5">
        <f>--ISNUMBER(SEARCH("Durability",Form_Responses3[[#This Row],[Purchase_Factors]]))</f>
        <v>0</v>
      </c>
      <c r="S5">
        <f>--ISNUMBER(SEARCH("Brand",Form_Responses3[[#This Row],[Purchase_Factors]]))</f>
        <v>1</v>
      </c>
      <c r="T5">
        <f>--ISNUMBER(SEARCH("Discount",Form_Responses3[[#This Row],[Purchase_Factors]]))</f>
        <v>0</v>
      </c>
      <c r="U5">
        <f>--ISNUMBER(SEARCH("Reviews",Form_Responses3[[#This Row],[Purchase_Factors]]))</f>
        <v>0</v>
      </c>
      <c r="V5">
        <f>--ISNUMBER(SEARCH("Latest Trends",Form_Responses3[[#This Row],[Purchase_Factors]]))</f>
        <v>0</v>
      </c>
      <c r="W5">
        <f>--ISNUMBER(SEARCH("Comfortable",Form_Responses3[[#This Row],[Bata_Perception]]))</f>
        <v>0</v>
      </c>
      <c r="X5">
        <f>--ISNUMBER(SEARCH("Affordable",Form_Responses3[[#This Row],[Bata_Perception]]))</f>
        <v>1</v>
      </c>
      <c r="Y5">
        <f>--ISNUMBER(SEARCH("Reliable",Form_Responses3[[#This Row],[Bata_Perception]]))</f>
        <v>0</v>
      </c>
      <c r="Z5">
        <f>--ISNUMBER(SEARCH("Good Quality",Form_Responses3[[#This Row],[Bata_Perception]]))</f>
        <v>0</v>
      </c>
      <c r="AA5">
        <f>--ISNUMBER(SEARCH("Stylish",Form_Responses3[[#This Row],[Bata_Perception]]))</f>
        <v>0</v>
      </c>
      <c r="AB5">
        <f>--ISNUMBER(SEARCH("Trendy",Form_Responses3[[#This Row],[Bata_Perception]]))</f>
        <v>0</v>
      </c>
      <c r="AC5">
        <f>--ISNUMBER(SEARCH("Traditional",Form_Responses3[[#This Row],[Bata_Perception]]))</f>
        <v>0</v>
      </c>
      <c r="AD5">
        <f>--ISNUMBER(SEARCH("Youth Friendly",Form_Responses3[[#This Row],[Bata_Perception]]))</f>
        <v>0</v>
      </c>
      <c r="AE5">
        <f>--ISNUMBER(SEARCH("Easily Available",Form_Responses3[[#This Row],[Bata_Perception]]))</f>
        <v>0</v>
      </c>
      <c r="AF5">
        <f>--ISNUMBER(SEARCH("Not Sure",Form_Responses3[[#This Row],[Bata_Perception]]))</f>
        <v>0</v>
      </c>
      <c r="AG5" t="str">
        <f>IF(OR(Form_Responses3[[#This Row],[Bata_Purchase_History]]="Yes, recently",Form_Responses3[[#This Row],[Bata_Purchase_History]]="Yes, but long ago"), "Yes", "No")</f>
        <v>Yes</v>
      </c>
      <c r="AH5" t="str">
        <f>IF(Form_Responses3[[#This Row],[Purchase_Likelihood]]&lt;=2,"Low",IF(Form_Responses3[[#This Row],[Purchase_Likelihood]]=3,"Neutral","High"))</f>
        <v>Low</v>
      </c>
      <c r="AI5">
        <f>_xlfn.SWITCH(Form_Responses3[[#This Row],[Spending_Range]],
"Below ₹1,000",1,
"₹1,000–1,999",2,
"₹2,000–2,999",3,
"₹3,000–4,999",4,
"₹5,000+",5,
"")</f>
        <v>2</v>
      </c>
      <c r="AJ5">
        <f>SUM(Form_Responses3[[#This Row],[PF_Comfort]:[PF_Latest_Trends]])</f>
        <v>1</v>
      </c>
      <c r="AK5">
        <v>4</v>
      </c>
      <c r="AL5">
        <f>--ISNUMBER(SEARCH("Trendier designs",Form_Responses3[[#This Row],[Desired_Improvement]]))</f>
        <v>1</v>
      </c>
      <c r="AM5">
        <f>--ISNUMBER(SEARCH("More Sneakers",Form_Responses3[[#This Row],[Desired_Improvement]]))</f>
        <v>0</v>
      </c>
      <c r="AN5">
        <f>--ISNUMBER(SEARCH("Student friendly prices",Form_Responses3[[#This Row],[Desired_Improvement]]))</f>
        <v>0</v>
      </c>
      <c r="AO5">
        <f>--ISNUMBER(SEARCH("Influencer Collaborations",Form_Responses3[[#This Row],[Desired_Improvement]]))</f>
        <v>0</v>
      </c>
      <c r="AP5">
        <f>--ISNUMBER(SEARCH("Better Social Media",Form_Responses3[[#This Row],[Desired_Improvement]]))</f>
        <v>0</v>
      </c>
      <c r="AQ5">
        <f>--ISNUMBER(SEARCH("Limited-edited collections",Form_Responses3[[#This Row],[Desired_Improvement]]))</f>
        <v>0</v>
      </c>
      <c r="AR5">
        <f>--ISNUMBER(SEARCH("Better online shopping",Form_Responses3[[#This Row],[Desired_Improvement]]))</f>
        <v>0</v>
      </c>
      <c r="AS5">
        <f>--ISNUMBER(SEARCH("Loyalty rewards",Form_Responses3[[#This Row],[Desired_Improvement]]))</f>
        <v>0</v>
      </c>
    </row>
    <row r="6" spans="1:45" ht="22.5" customHeight="1" x14ac:dyDescent="0.25">
      <c r="A6" s="2">
        <v>46286.013373182868</v>
      </c>
      <c r="B6" s="3" t="s">
        <v>24</v>
      </c>
      <c r="C6" s="3" t="s">
        <v>25</v>
      </c>
      <c r="D6" s="3" t="s">
        <v>15</v>
      </c>
      <c r="E6" s="3" t="s">
        <v>26</v>
      </c>
      <c r="F6" s="3" t="s">
        <v>17</v>
      </c>
      <c r="G6" s="3" t="s">
        <v>27</v>
      </c>
      <c r="H6" s="3" t="s">
        <v>28</v>
      </c>
      <c r="I6" s="3" t="s">
        <v>29</v>
      </c>
      <c r="J6" s="8">
        <v>3</v>
      </c>
      <c r="K6" s="3" t="s">
        <v>30</v>
      </c>
      <c r="L6" s="3" t="s">
        <v>31</v>
      </c>
      <c r="M6" s="3" t="s">
        <v>32</v>
      </c>
      <c r="N6">
        <f>--ISNUMBER(SEARCH("Comfort",Form_Responses3[[#This Row],[Purchase_Factors]]))</f>
        <v>1</v>
      </c>
      <c r="O6">
        <f>--ISNUMBER(SEARCH("Price",Form_Responses3[[#This Row],[Purchase_Factors]]))</f>
        <v>0</v>
      </c>
      <c r="P6">
        <f>--ISNUMBER(SEARCH("Style",Form_Responses3[[#This Row],[Purchase_Factors]]))</f>
        <v>0</v>
      </c>
      <c r="Q6">
        <f>--ISNUMBER(SEARCH("Quality",Form_Responses3[[#This Row],[Purchase_Factors]]))</f>
        <v>0</v>
      </c>
      <c r="R6">
        <f>--ISNUMBER(SEARCH("Durability",Form_Responses3[[#This Row],[Purchase_Factors]]))</f>
        <v>0</v>
      </c>
      <c r="S6">
        <f>--ISNUMBER(SEARCH("Brand",Form_Responses3[[#This Row],[Purchase_Factors]]))</f>
        <v>0</v>
      </c>
      <c r="T6">
        <f>--ISNUMBER(SEARCH("Discount",Form_Responses3[[#This Row],[Purchase_Factors]]))</f>
        <v>0</v>
      </c>
      <c r="U6">
        <f>--ISNUMBER(SEARCH("Reviews",Form_Responses3[[#This Row],[Purchase_Factors]]))</f>
        <v>0</v>
      </c>
      <c r="V6">
        <f>--ISNUMBER(SEARCH("Latest Trends",Form_Responses3[[#This Row],[Purchase_Factors]]))</f>
        <v>0</v>
      </c>
      <c r="W6">
        <f>--ISNUMBER(SEARCH("Comfortable",Form_Responses3[[#This Row],[Bata_Perception]]))</f>
        <v>0</v>
      </c>
      <c r="X6">
        <f>--ISNUMBER(SEARCH("Affordable",Form_Responses3[[#This Row],[Bata_Perception]]))</f>
        <v>0</v>
      </c>
      <c r="Y6">
        <f>--ISNUMBER(SEARCH("Reliable",Form_Responses3[[#This Row],[Bata_Perception]]))</f>
        <v>0</v>
      </c>
      <c r="Z6">
        <f>--ISNUMBER(SEARCH("Good Quality",Form_Responses3[[#This Row],[Bata_Perception]]))</f>
        <v>0</v>
      </c>
      <c r="AA6">
        <f>--ISNUMBER(SEARCH("Stylish",Form_Responses3[[#This Row],[Bata_Perception]]))</f>
        <v>0</v>
      </c>
      <c r="AB6">
        <f>--ISNUMBER(SEARCH("Trendy",Form_Responses3[[#This Row],[Bata_Perception]]))</f>
        <v>0</v>
      </c>
      <c r="AC6">
        <f>--ISNUMBER(SEARCH("Traditional",Form_Responses3[[#This Row],[Bata_Perception]]))</f>
        <v>0</v>
      </c>
      <c r="AD6">
        <f>--ISNUMBER(SEARCH("Youth Friendly",Form_Responses3[[#This Row],[Bata_Perception]]))</f>
        <v>0</v>
      </c>
      <c r="AE6">
        <f>--ISNUMBER(SEARCH("Easily Available",Form_Responses3[[#This Row],[Bata_Perception]]))</f>
        <v>0</v>
      </c>
      <c r="AF6">
        <f>--ISNUMBER(SEARCH("Not Sure",Form_Responses3[[#This Row],[Bata_Perception]]))</f>
        <v>1</v>
      </c>
      <c r="AG6" t="str">
        <f>IF(OR(Form_Responses3[[#This Row],[Bata_Purchase_History]]="Yes, recently",Form_Responses3[[#This Row],[Bata_Purchase_History]]="Yes, but long ago"), "Yes", "No")</f>
        <v>No</v>
      </c>
      <c r="AH6" t="str">
        <f>IF(Form_Responses3[[#This Row],[Purchase_Likelihood]]&lt;=2,"Low",IF(Form_Responses3[[#This Row],[Purchase_Likelihood]]=3,"Neutral","High"))</f>
        <v>Neutral</v>
      </c>
      <c r="AI6">
        <f>_xlfn.SWITCH(Form_Responses3[[#This Row],[Spending_Range]],
"Below ₹1,000",1,
"₹1,000–1,999",2,
"₹2,000–2,999",3,
"₹3,000–4,999",4,
"₹5,000+",5,
"")</f>
        <v>1</v>
      </c>
      <c r="AJ6">
        <f>SUM(Form_Responses3[[#This Row],[PF_Comfort]:[PF_Latest_Trends]])</f>
        <v>1</v>
      </c>
      <c r="AK6">
        <v>5</v>
      </c>
      <c r="AL6">
        <f>--ISNUMBER(SEARCH("Trendier designs",Form_Responses3[[#This Row],[Desired_Improvement]]))</f>
        <v>0</v>
      </c>
      <c r="AM6">
        <f>--ISNUMBER(SEARCH("More Sneakers",Form_Responses3[[#This Row],[Desired_Improvement]]))</f>
        <v>1</v>
      </c>
      <c r="AN6">
        <f>--ISNUMBER(SEARCH("Student friendly prices",Form_Responses3[[#This Row],[Desired_Improvement]]))</f>
        <v>0</v>
      </c>
      <c r="AO6">
        <f>--ISNUMBER(SEARCH("Influencer Collaborations",Form_Responses3[[#This Row],[Desired_Improvement]]))</f>
        <v>0</v>
      </c>
      <c r="AP6">
        <f>--ISNUMBER(SEARCH("Better Social Media",Form_Responses3[[#This Row],[Desired_Improvement]]))</f>
        <v>0</v>
      </c>
      <c r="AQ6">
        <f>--ISNUMBER(SEARCH("Limited-edited collections",Form_Responses3[[#This Row],[Desired_Improvement]]))</f>
        <v>0</v>
      </c>
      <c r="AR6">
        <f>--ISNUMBER(SEARCH("Better online shopping",Form_Responses3[[#This Row],[Desired_Improvement]]))</f>
        <v>0</v>
      </c>
      <c r="AS6">
        <f>--ISNUMBER(SEARCH("Loyalty rewards",Form_Responses3[[#This Row],[Desired_Improvement]]))</f>
        <v>0</v>
      </c>
    </row>
    <row r="7" spans="1:45" ht="22.5" customHeight="1" x14ac:dyDescent="0.25">
      <c r="A7" s="2">
        <v>46286.015975925926</v>
      </c>
      <c r="B7" s="3" t="s">
        <v>13</v>
      </c>
      <c r="C7" s="3" t="s">
        <v>25</v>
      </c>
      <c r="D7" s="3" t="s">
        <v>15</v>
      </c>
      <c r="E7" s="3" t="s">
        <v>33</v>
      </c>
      <c r="F7" s="3" t="s">
        <v>17</v>
      </c>
      <c r="G7" s="3" t="s">
        <v>27</v>
      </c>
      <c r="H7" s="3" t="s">
        <v>28</v>
      </c>
      <c r="I7" s="3" t="s">
        <v>34</v>
      </c>
      <c r="J7" s="8">
        <v>3</v>
      </c>
      <c r="K7" s="3" t="s">
        <v>35</v>
      </c>
      <c r="L7" s="3" t="s">
        <v>36</v>
      </c>
      <c r="M7" s="3" t="s">
        <v>37</v>
      </c>
      <c r="N7">
        <f>--ISNUMBER(SEARCH("Comfort",Form_Responses3[[#This Row],[Purchase_Factors]]))</f>
        <v>1</v>
      </c>
      <c r="O7">
        <f>--ISNUMBER(SEARCH("Price",Form_Responses3[[#This Row],[Purchase_Factors]]))</f>
        <v>0</v>
      </c>
      <c r="P7">
        <f>--ISNUMBER(SEARCH("Style",Form_Responses3[[#This Row],[Purchase_Factors]]))</f>
        <v>0</v>
      </c>
      <c r="Q7">
        <f>--ISNUMBER(SEARCH("Quality",Form_Responses3[[#This Row],[Purchase_Factors]]))</f>
        <v>0</v>
      </c>
      <c r="R7">
        <f>--ISNUMBER(SEARCH("Durability",Form_Responses3[[#This Row],[Purchase_Factors]]))</f>
        <v>0</v>
      </c>
      <c r="S7">
        <f>--ISNUMBER(SEARCH("Brand",Form_Responses3[[#This Row],[Purchase_Factors]]))</f>
        <v>0</v>
      </c>
      <c r="T7">
        <f>--ISNUMBER(SEARCH("Discount",Form_Responses3[[#This Row],[Purchase_Factors]]))</f>
        <v>0</v>
      </c>
      <c r="U7">
        <f>--ISNUMBER(SEARCH("Reviews",Form_Responses3[[#This Row],[Purchase_Factors]]))</f>
        <v>0</v>
      </c>
      <c r="V7">
        <f>--ISNUMBER(SEARCH("Latest Trends",Form_Responses3[[#This Row],[Purchase_Factors]]))</f>
        <v>0</v>
      </c>
      <c r="W7">
        <f>--ISNUMBER(SEARCH("Comfortable",Form_Responses3[[#This Row],[Bata_Perception]]))</f>
        <v>0</v>
      </c>
      <c r="X7">
        <f>--ISNUMBER(SEARCH("Affordable",Form_Responses3[[#This Row],[Bata_Perception]]))</f>
        <v>0</v>
      </c>
      <c r="Y7">
        <f>--ISNUMBER(SEARCH("Reliable",Form_Responses3[[#This Row],[Bata_Perception]]))</f>
        <v>1</v>
      </c>
      <c r="Z7">
        <f>--ISNUMBER(SEARCH("Good Quality",Form_Responses3[[#This Row],[Bata_Perception]]))</f>
        <v>0</v>
      </c>
      <c r="AA7">
        <f>--ISNUMBER(SEARCH("Stylish",Form_Responses3[[#This Row],[Bata_Perception]]))</f>
        <v>0</v>
      </c>
      <c r="AB7">
        <f>--ISNUMBER(SEARCH("Trendy",Form_Responses3[[#This Row],[Bata_Perception]]))</f>
        <v>0</v>
      </c>
      <c r="AC7">
        <f>--ISNUMBER(SEARCH("Traditional",Form_Responses3[[#This Row],[Bata_Perception]]))</f>
        <v>0</v>
      </c>
      <c r="AD7">
        <f>--ISNUMBER(SEARCH("Youth Friendly",Form_Responses3[[#This Row],[Bata_Perception]]))</f>
        <v>0</v>
      </c>
      <c r="AE7">
        <f>--ISNUMBER(SEARCH("Easily Available",Form_Responses3[[#This Row],[Bata_Perception]]))</f>
        <v>0</v>
      </c>
      <c r="AF7">
        <f>--ISNUMBER(SEARCH("Not Sure",Form_Responses3[[#This Row],[Bata_Perception]]))</f>
        <v>0</v>
      </c>
      <c r="AG7" t="str">
        <f>IF(OR(Form_Responses3[[#This Row],[Bata_Purchase_History]]="Yes, recently",Form_Responses3[[#This Row],[Bata_Purchase_History]]="Yes, but long ago"), "Yes", "No")</f>
        <v>No</v>
      </c>
      <c r="AH7" t="str">
        <f>IF(Form_Responses3[[#This Row],[Purchase_Likelihood]]&lt;=2,"Low",IF(Form_Responses3[[#This Row],[Purchase_Likelihood]]=3,"Neutral","High"))</f>
        <v>Neutral</v>
      </c>
      <c r="AI7">
        <f>_xlfn.SWITCH(Form_Responses3[[#This Row],[Spending_Range]],
"Below ₹1,000",1,
"₹1,000–1,999",2,
"₹2,000–2,999",3,
"₹3,000–4,999",4,
"₹5,000+",5,
"")</f>
        <v>1</v>
      </c>
      <c r="AJ7">
        <f>SUM(Form_Responses3[[#This Row],[PF_Comfort]:[PF_Latest_Trends]])</f>
        <v>1</v>
      </c>
      <c r="AK7">
        <v>6</v>
      </c>
      <c r="AL7">
        <f>--ISNUMBER(SEARCH("Trendier designs",Form_Responses3[[#This Row],[Desired_Improvement]]))</f>
        <v>0</v>
      </c>
      <c r="AM7">
        <f>--ISNUMBER(SEARCH("More Sneakers",Form_Responses3[[#This Row],[Desired_Improvement]]))</f>
        <v>0</v>
      </c>
      <c r="AN7">
        <f>--ISNUMBER(SEARCH("Student friendly prices",Form_Responses3[[#This Row],[Desired_Improvement]]))</f>
        <v>1</v>
      </c>
      <c r="AO7">
        <f>--ISNUMBER(SEARCH("Influencer Collaborations",Form_Responses3[[#This Row],[Desired_Improvement]]))</f>
        <v>0</v>
      </c>
      <c r="AP7">
        <f>--ISNUMBER(SEARCH("Better Social Media",Form_Responses3[[#This Row],[Desired_Improvement]]))</f>
        <v>0</v>
      </c>
      <c r="AQ7">
        <f>--ISNUMBER(SEARCH("Limited-edited collections",Form_Responses3[[#This Row],[Desired_Improvement]]))</f>
        <v>0</v>
      </c>
      <c r="AR7">
        <f>--ISNUMBER(SEARCH("Better online shopping",Form_Responses3[[#This Row],[Desired_Improvement]]))</f>
        <v>0</v>
      </c>
      <c r="AS7">
        <f>--ISNUMBER(SEARCH("Loyalty rewards",Form_Responses3[[#This Row],[Desired_Improvement]]))</f>
        <v>0</v>
      </c>
    </row>
    <row r="8" spans="1:45" ht="22.5" customHeight="1" x14ac:dyDescent="0.25">
      <c r="A8" s="2">
        <v>46286.679824351857</v>
      </c>
      <c r="B8" s="3" t="s">
        <v>24</v>
      </c>
      <c r="C8" s="3" t="s">
        <v>25</v>
      </c>
      <c r="D8" s="3" t="s">
        <v>15</v>
      </c>
      <c r="E8" s="3" t="s">
        <v>33</v>
      </c>
      <c r="F8" s="3" t="s">
        <v>57</v>
      </c>
      <c r="G8" s="3" t="s">
        <v>49</v>
      </c>
      <c r="H8" s="3" t="s">
        <v>19</v>
      </c>
      <c r="I8" s="3" t="s">
        <v>58</v>
      </c>
      <c r="J8" s="8">
        <v>3</v>
      </c>
      <c r="K8" s="3" t="s">
        <v>52</v>
      </c>
      <c r="L8" s="3" t="s">
        <v>31</v>
      </c>
      <c r="M8" s="7" t="s">
        <v>99</v>
      </c>
      <c r="N8">
        <f>--ISNUMBER(SEARCH("Comfort",Form_Responses3[[#This Row],[Purchase_Factors]]))</f>
        <v>0</v>
      </c>
      <c r="O8">
        <f>--ISNUMBER(SEARCH("Price",Form_Responses3[[#This Row],[Purchase_Factors]]))</f>
        <v>0</v>
      </c>
      <c r="P8">
        <f>--ISNUMBER(SEARCH("Style",Form_Responses3[[#This Row],[Purchase_Factors]]))</f>
        <v>0</v>
      </c>
      <c r="Q8">
        <f>--ISNUMBER(SEARCH("Quality",Form_Responses3[[#This Row],[Purchase_Factors]]))</f>
        <v>1</v>
      </c>
      <c r="R8">
        <f>--ISNUMBER(SEARCH("Durability",Form_Responses3[[#This Row],[Purchase_Factors]]))</f>
        <v>0</v>
      </c>
      <c r="S8">
        <f>--ISNUMBER(SEARCH("Brand",Form_Responses3[[#This Row],[Purchase_Factors]]))</f>
        <v>0</v>
      </c>
      <c r="T8">
        <f>--ISNUMBER(SEARCH("Discount",Form_Responses3[[#This Row],[Purchase_Factors]]))</f>
        <v>0</v>
      </c>
      <c r="U8">
        <f>--ISNUMBER(SEARCH("Reviews",Form_Responses3[[#This Row],[Purchase_Factors]]))</f>
        <v>0</v>
      </c>
      <c r="V8">
        <f>--ISNUMBER(SEARCH("Latest Trends",Form_Responses3[[#This Row],[Purchase_Factors]]))</f>
        <v>0</v>
      </c>
      <c r="W8">
        <f>--ISNUMBER(SEARCH("Comfortable",Form_Responses3[[#This Row],[Bata_Perception]]))</f>
        <v>0</v>
      </c>
      <c r="X8">
        <f>--ISNUMBER(SEARCH("Affordable",Form_Responses3[[#This Row],[Bata_Perception]]))</f>
        <v>0</v>
      </c>
      <c r="Y8">
        <f>--ISNUMBER(SEARCH("Reliable",Form_Responses3[[#This Row],[Bata_Perception]]))</f>
        <v>0</v>
      </c>
      <c r="Z8">
        <f>--ISNUMBER(SEARCH("Good Quality",Form_Responses3[[#This Row],[Bata_Perception]]))</f>
        <v>0</v>
      </c>
      <c r="AA8">
        <f>--ISNUMBER(SEARCH("Stylish",Form_Responses3[[#This Row],[Bata_Perception]]))</f>
        <v>0</v>
      </c>
      <c r="AB8">
        <f>--ISNUMBER(SEARCH("Trendy",Form_Responses3[[#This Row],[Bata_Perception]]))</f>
        <v>0</v>
      </c>
      <c r="AC8">
        <f>--ISNUMBER(SEARCH("Traditional",Form_Responses3[[#This Row],[Bata_Perception]]))</f>
        <v>0</v>
      </c>
      <c r="AD8">
        <f>--ISNUMBER(SEARCH("Youth Friendly",Form_Responses3[[#This Row],[Bata_Perception]]))</f>
        <v>1</v>
      </c>
      <c r="AE8">
        <f>--ISNUMBER(SEARCH("Easily Available",Form_Responses3[[#This Row],[Bata_Perception]]))</f>
        <v>0</v>
      </c>
      <c r="AF8">
        <f>--ISNUMBER(SEARCH("Not Sure",Form_Responses3[[#This Row],[Bata_Perception]]))</f>
        <v>1</v>
      </c>
      <c r="AG8" t="str">
        <f>IF(OR(Form_Responses3[[#This Row],[Bata_Purchase_History]]="Yes, recently",Form_Responses3[[#This Row],[Bata_Purchase_History]]="Yes, but long ago"), "Yes", "No")</f>
        <v>Yes</v>
      </c>
      <c r="AH8" t="str">
        <f>IF(Form_Responses3[[#This Row],[Purchase_Likelihood]]&lt;=2,"Low",IF(Form_Responses3[[#This Row],[Purchase_Likelihood]]=3,"Neutral","High"))</f>
        <v>Neutral</v>
      </c>
      <c r="AI8">
        <f>_xlfn.SWITCH(Form_Responses3[[#This Row],[Spending_Range]],
"Below ₹1,000",1,
"₹1,000–1,999",2,
"₹2,000–2,999",3,
"₹3,000–4,999",4,
"₹5,000+",5,
"")</f>
        <v>1</v>
      </c>
      <c r="AJ8">
        <f>SUM(Form_Responses3[[#This Row],[PF_Comfort]:[PF_Latest_Trends]])</f>
        <v>1</v>
      </c>
      <c r="AK8">
        <v>7</v>
      </c>
      <c r="AL8">
        <f>--ISNUMBER(SEARCH("Trendier designs",Form_Responses3[[#This Row],[Desired_Improvement]]))</f>
        <v>0</v>
      </c>
      <c r="AM8">
        <f>--ISNUMBER(SEARCH("More Sneakers",Form_Responses3[[#This Row],[Desired_Improvement]]))</f>
        <v>1</v>
      </c>
      <c r="AN8">
        <f>--ISNUMBER(SEARCH("Student friendly prices",Form_Responses3[[#This Row],[Desired_Improvement]]))</f>
        <v>0</v>
      </c>
      <c r="AO8">
        <f>--ISNUMBER(SEARCH("Influencer Collaborations",Form_Responses3[[#This Row],[Desired_Improvement]]))</f>
        <v>0</v>
      </c>
      <c r="AP8">
        <f>--ISNUMBER(SEARCH("Better Social Media",Form_Responses3[[#This Row],[Desired_Improvement]]))</f>
        <v>0</v>
      </c>
      <c r="AQ8">
        <f>--ISNUMBER(SEARCH("Limited-edited collections",Form_Responses3[[#This Row],[Desired_Improvement]]))</f>
        <v>0</v>
      </c>
      <c r="AR8">
        <f>--ISNUMBER(SEARCH("Better online shopping",Form_Responses3[[#This Row],[Desired_Improvement]]))</f>
        <v>0</v>
      </c>
      <c r="AS8">
        <f>--ISNUMBER(SEARCH("Loyalty rewards",Form_Responses3[[#This Row],[Desired_Improvement]]))</f>
        <v>0</v>
      </c>
    </row>
    <row r="9" spans="1:45" ht="22.5" customHeight="1" x14ac:dyDescent="0.25">
      <c r="A9" s="2">
        <v>46286.715957719905</v>
      </c>
      <c r="B9" s="3" t="s">
        <v>24</v>
      </c>
      <c r="C9" s="3" t="s">
        <v>25</v>
      </c>
      <c r="D9" s="3" t="s">
        <v>60</v>
      </c>
      <c r="E9" s="3" t="s">
        <v>26</v>
      </c>
      <c r="F9" s="3" t="s">
        <v>17</v>
      </c>
      <c r="G9" s="3" t="s">
        <v>49</v>
      </c>
      <c r="H9" s="3" t="s">
        <v>19</v>
      </c>
      <c r="I9" s="3" t="s">
        <v>61</v>
      </c>
      <c r="J9" s="8">
        <v>3</v>
      </c>
      <c r="K9" s="3" t="s">
        <v>62</v>
      </c>
      <c r="L9" s="3" t="s">
        <v>63</v>
      </c>
      <c r="M9" s="3" t="s">
        <v>64</v>
      </c>
      <c r="N9">
        <f>--ISNUMBER(SEARCH("Comfort",Form_Responses3[[#This Row],[Purchase_Factors]]))</f>
        <v>1</v>
      </c>
      <c r="O9">
        <f>--ISNUMBER(SEARCH("Price",Form_Responses3[[#This Row],[Purchase_Factors]]))</f>
        <v>0</v>
      </c>
      <c r="P9">
        <f>--ISNUMBER(SEARCH("Style",Form_Responses3[[#This Row],[Purchase_Factors]]))</f>
        <v>0</v>
      </c>
      <c r="Q9">
        <f>--ISNUMBER(SEARCH("Quality",Form_Responses3[[#This Row],[Purchase_Factors]]))</f>
        <v>0</v>
      </c>
      <c r="R9">
        <f>--ISNUMBER(SEARCH("Durability",Form_Responses3[[#This Row],[Purchase_Factors]]))</f>
        <v>0</v>
      </c>
      <c r="S9">
        <f>--ISNUMBER(SEARCH("Brand",Form_Responses3[[#This Row],[Purchase_Factors]]))</f>
        <v>0</v>
      </c>
      <c r="T9">
        <f>--ISNUMBER(SEARCH("Discount",Form_Responses3[[#This Row],[Purchase_Factors]]))</f>
        <v>0</v>
      </c>
      <c r="U9">
        <f>--ISNUMBER(SEARCH("Reviews",Form_Responses3[[#This Row],[Purchase_Factors]]))</f>
        <v>0</v>
      </c>
      <c r="V9">
        <f>--ISNUMBER(SEARCH("Latest Trends",Form_Responses3[[#This Row],[Purchase_Factors]]))</f>
        <v>0</v>
      </c>
      <c r="W9">
        <f>--ISNUMBER(SEARCH("Comfortable",Form_Responses3[[#This Row],[Bata_Perception]]))</f>
        <v>1</v>
      </c>
      <c r="X9">
        <f>--ISNUMBER(SEARCH("Affordable",Form_Responses3[[#This Row],[Bata_Perception]]))</f>
        <v>0</v>
      </c>
      <c r="Y9">
        <f>--ISNUMBER(SEARCH("Reliable",Form_Responses3[[#This Row],[Bata_Perception]]))</f>
        <v>1</v>
      </c>
      <c r="Z9">
        <f>--ISNUMBER(SEARCH("Good Quality",Form_Responses3[[#This Row],[Bata_Perception]]))</f>
        <v>1</v>
      </c>
      <c r="AA9">
        <f>--ISNUMBER(SEARCH("Stylish",Form_Responses3[[#This Row],[Bata_Perception]]))</f>
        <v>0</v>
      </c>
      <c r="AB9">
        <f>--ISNUMBER(SEARCH("Trendy",Form_Responses3[[#This Row],[Bata_Perception]]))</f>
        <v>0</v>
      </c>
      <c r="AC9">
        <f>--ISNUMBER(SEARCH("Traditional",Form_Responses3[[#This Row],[Bata_Perception]]))</f>
        <v>0</v>
      </c>
      <c r="AD9">
        <f>--ISNUMBER(SEARCH("Youth Friendly",Form_Responses3[[#This Row],[Bata_Perception]]))</f>
        <v>0</v>
      </c>
      <c r="AE9">
        <f>--ISNUMBER(SEARCH("Easily Available",Form_Responses3[[#This Row],[Bata_Perception]]))</f>
        <v>0</v>
      </c>
      <c r="AF9">
        <f>--ISNUMBER(SEARCH("Not Sure",Form_Responses3[[#This Row],[Bata_Perception]]))</f>
        <v>0</v>
      </c>
      <c r="AG9" t="str">
        <f>IF(OR(Form_Responses3[[#This Row],[Bata_Purchase_History]]="Yes, recently",Form_Responses3[[#This Row],[Bata_Purchase_History]]="Yes, but long ago"), "Yes", "No")</f>
        <v>Yes</v>
      </c>
      <c r="AH9" t="str">
        <f>IF(Form_Responses3[[#This Row],[Purchase_Likelihood]]&lt;=2,"Low",IF(Form_Responses3[[#This Row],[Purchase_Likelihood]]=3,"Neutral","High"))</f>
        <v>Neutral</v>
      </c>
      <c r="AI9">
        <f>_xlfn.SWITCH(Form_Responses3[[#This Row],[Spending_Range]],
"Below ₹1,000",1,
"₹1,000–1,999",2,
"₹2,000–2,999",3,
"₹3,000–4,999",4,
"₹5,000+",5,
"")</f>
        <v>3</v>
      </c>
      <c r="AJ9">
        <f>SUM(Form_Responses3[[#This Row],[PF_Comfort]:[PF_Latest_Trends]])</f>
        <v>1</v>
      </c>
      <c r="AK9">
        <v>8</v>
      </c>
      <c r="AL9">
        <f>--ISNUMBER(SEARCH("Trendier designs",Form_Responses3[[#This Row],[Desired_Improvement]]))</f>
        <v>1</v>
      </c>
      <c r="AM9">
        <f>--ISNUMBER(SEARCH("More Sneakers",Form_Responses3[[#This Row],[Desired_Improvement]]))</f>
        <v>1</v>
      </c>
      <c r="AN9">
        <f>--ISNUMBER(SEARCH("Student friendly prices",Form_Responses3[[#This Row],[Desired_Improvement]]))</f>
        <v>0</v>
      </c>
      <c r="AO9">
        <f>--ISNUMBER(SEARCH("Influencer Collaborations",Form_Responses3[[#This Row],[Desired_Improvement]]))</f>
        <v>1</v>
      </c>
      <c r="AP9">
        <f>--ISNUMBER(SEARCH("Better Social Media",Form_Responses3[[#This Row],[Desired_Improvement]]))</f>
        <v>0</v>
      </c>
      <c r="AQ9">
        <f>--ISNUMBER(SEARCH("Limited-edited collections",Form_Responses3[[#This Row],[Desired_Improvement]]))</f>
        <v>0</v>
      </c>
      <c r="AR9">
        <f>--ISNUMBER(SEARCH("Better online shopping",Form_Responses3[[#This Row],[Desired_Improvement]]))</f>
        <v>0</v>
      </c>
      <c r="AS9">
        <f>--ISNUMBER(SEARCH("Loyalty rewards",Form_Responses3[[#This Row],[Desired_Improvement]]))</f>
        <v>0</v>
      </c>
    </row>
    <row r="10" spans="1:45" ht="22.5" customHeight="1" x14ac:dyDescent="0.25">
      <c r="A10" s="2">
        <v>46286.004365914356</v>
      </c>
      <c r="B10" s="3" t="s">
        <v>13</v>
      </c>
      <c r="C10" s="3" t="s">
        <v>14</v>
      </c>
      <c r="D10" s="3" t="s">
        <v>15</v>
      </c>
      <c r="E10" s="3" t="s">
        <v>16</v>
      </c>
      <c r="F10" s="3" t="s">
        <v>17</v>
      </c>
      <c r="G10" s="3" t="s">
        <v>18</v>
      </c>
      <c r="H10" s="3" t="s">
        <v>19</v>
      </c>
      <c r="I10" s="3" t="s">
        <v>20</v>
      </c>
      <c r="J10" s="8">
        <v>4</v>
      </c>
      <c r="K10" s="3" t="s">
        <v>21</v>
      </c>
      <c r="L10" s="3" t="s">
        <v>22</v>
      </c>
      <c r="M10" s="3" t="s">
        <v>23</v>
      </c>
      <c r="N10">
        <f>--ISNUMBER(SEARCH("Comfort",Form_Responses3[[#This Row],[Purchase_Factors]]))</f>
        <v>1</v>
      </c>
      <c r="O10">
        <f>--ISNUMBER(SEARCH("Price",Form_Responses3[[#This Row],[Purchase_Factors]]))</f>
        <v>0</v>
      </c>
      <c r="P10">
        <f>--ISNUMBER(SEARCH("Style",Form_Responses3[[#This Row],[Purchase_Factors]]))</f>
        <v>0</v>
      </c>
      <c r="Q10">
        <f>--ISNUMBER(SEARCH("Quality",Form_Responses3[[#This Row],[Purchase_Factors]]))</f>
        <v>0</v>
      </c>
      <c r="R10">
        <f>--ISNUMBER(SEARCH("Durability",Form_Responses3[[#This Row],[Purchase_Factors]]))</f>
        <v>0</v>
      </c>
      <c r="S10">
        <f>--ISNUMBER(SEARCH("Brand",Form_Responses3[[#This Row],[Purchase_Factors]]))</f>
        <v>0</v>
      </c>
      <c r="T10">
        <f>--ISNUMBER(SEARCH("Discount",Form_Responses3[[#This Row],[Purchase_Factors]]))</f>
        <v>0</v>
      </c>
      <c r="U10">
        <f>--ISNUMBER(SEARCH("Reviews",Form_Responses3[[#This Row],[Purchase_Factors]]))</f>
        <v>0</v>
      </c>
      <c r="V10">
        <f>--ISNUMBER(SEARCH("Latest Trends",Form_Responses3[[#This Row],[Purchase_Factors]]))</f>
        <v>0</v>
      </c>
      <c r="W10">
        <f>--ISNUMBER(SEARCH("Comfortable",Form_Responses3[[#This Row],[Bata_Perception]]))</f>
        <v>1</v>
      </c>
      <c r="X10">
        <f>--ISNUMBER(SEARCH("Affordable",Form_Responses3[[#This Row],[Bata_Perception]]))</f>
        <v>1</v>
      </c>
      <c r="Y10">
        <f>--ISNUMBER(SEARCH("Reliable",Form_Responses3[[#This Row],[Bata_Perception]]))</f>
        <v>0</v>
      </c>
      <c r="Z10">
        <f>--ISNUMBER(SEARCH("Good Quality",Form_Responses3[[#This Row],[Bata_Perception]]))</f>
        <v>1</v>
      </c>
      <c r="AA10">
        <f>--ISNUMBER(SEARCH("Stylish",Form_Responses3[[#This Row],[Bata_Perception]]))</f>
        <v>0</v>
      </c>
      <c r="AB10">
        <f>--ISNUMBER(SEARCH("Trendy",Form_Responses3[[#This Row],[Bata_Perception]]))</f>
        <v>0</v>
      </c>
      <c r="AC10">
        <f>--ISNUMBER(SEARCH("Traditional",Form_Responses3[[#This Row],[Bata_Perception]]))</f>
        <v>0</v>
      </c>
      <c r="AD10">
        <f>--ISNUMBER(SEARCH("Youth Friendly",Form_Responses3[[#This Row],[Bata_Perception]]))</f>
        <v>0</v>
      </c>
      <c r="AE10">
        <f>--ISNUMBER(SEARCH("Easily Available",Form_Responses3[[#This Row],[Bata_Perception]]))</f>
        <v>0</v>
      </c>
      <c r="AF10">
        <f>--ISNUMBER(SEARCH("Not Sure",Form_Responses3[[#This Row],[Bata_Perception]]))</f>
        <v>0</v>
      </c>
      <c r="AG10" t="str">
        <f>IF(OR(Form_Responses3[[#This Row],[Bata_Purchase_History]]="Yes, recently",Form_Responses3[[#This Row],[Bata_Purchase_History]]="Yes, but long ago"), "Yes", "No")</f>
        <v>Yes</v>
      </c>
      <c r="AH10" t="str">
        <f>IF(Form_Responses3[[#This Row],[Purchase_Likelihood]]&lt;=2,"Low",IF(Form_Responses3[[#This Row],[Purchase_Likelihood]]=3,"Neutral","High"))</f>
        <v>High</v>
      </c>
      <c r="AI10">
        <f>_xlfn.SWITCH(Form_Responses3[[#This Row],[Spending_Range]],
"Below ₹1,000",1,
"₹1,000–1,999",2,
"₹2,000–2,999",3,
"₹3,000–4,999",4,
"₹5,000+",5,
"")</f>
        <v>1</v>
      </c>
      <c r="AJ10">
        <f>SUM(Form_Responses3[[#This Row],[PF_Comfort]:[PF_Latest_Trends]])</f>
        <v>1</v>
      </c>
      <c r="AK10">
        <v>9</v>
      </c>
      <c r="AL10">
        <f>--ISNUMBER(SEARCH("Trendier designs",Form_Responses3[[#This Row],[Desired_Improvement]]))</f>
        <v>1</v>
      </c>
      <c r="AM10">
        <f>--ISNUMBER(SEARCH("More Sneakers",Form_Responses3[[#This Row],[Desired_Improvement]]))</f>
        <v>0</v>
      </c>
      <c r="AN10">
        <f>--ISNUMBER(SEARCH("Student friendly prices",Form_Responses3[[#This Row],[Desired_Improvement]]))</f>
        <v>1</v>
      </c>
      <c r="AO10">
        <f>--ISNUMBER(SEARCH("Influencer Collaborations",Form_Responses3[[#This Row],[Desired_Improvement]]))</f>
        <v>1</v>
      </c>
      <c r="AP10">
        <f>--ISNUMBER(SEARCH("Better Social Media",Form_Responses3[[#This Row],[Desired_Improvement]]))</f>
        <v>1</v>
      </c>
      <c r="AQ10">
        <f>--ISNUMBER(SEARCH("Limited-edited collections",Form_Responses3[[#This Row],[Desired_Improvement]]))</f>
        <v>0</v>
      </c>
      <c r="AR10">
        <f>--ISNUMBER(SEARCH("Better online shopping",Form_Responses3[[#This Row],[Desired_Improvement]]))</f>
        <v>0</v>
      </c>
      <c r="AS10">
        <f>--ISNUMBER(SEARCH("Loyalty rewards",Form_Responses3[[#This Row],[Desired_Improvement]]))</f>
        <v>0</v>
      </c>
    </row>
    <row r="11" spans="1:45" ht="22.5" customHeight="1" x14ac:dyDescent="0.25">
      <c r="A11" s="2">
        <v>46286.017016655096</v>
      </c>
      <c r="B11" s="3" t="s">
        <v>13</v>
      </c>
      <c r="C11" s="3" t="s">
        <v>25</v>
      </c>
      <c r="D11" s="3" t="s">
        <v>38</v>
      </c>
      <c r="E11" s="3" t="s">
        <v>33</v>
      </c>
      <c r="F11" s="3" t="s">
        <v>17</v>
      </c>
      <c r="G11" s="3" t="s">
        <v>39</v>
      </c>
      <c r="H11" s="3" t="s">
        <v>40</v>
      </c>
      <c r="I11" s="3" t="s">
        <v>41</v>
      </c>
      <c r="J11" s="8">
        <v>4</v>
      </c>
      <c r="K11" s="3" t="s">
        <v>95</v>
      </c>
      <c r="L11" s="3" t="s">
        <v>43</v>
      </c>
      <c r="M11" s="3" t="s">
        <v>44</v>
      </c>
      <c r="N11">
        <f>--ISNUMBER(SEARCH("Comfort",Form_Responses3[[#This Row],[Purchase_Factors]]))</f>
        <v>1</v>
      </c>
      <c r="O11">
        <f>--ISNUMBER(SEARCH("Price",Form_Responses3[[#This Row],[Purchase_Factors]]))</f>
        <v>0</v>
      </c>
      <c r="P11">
        <f>--ISNUMBER(SEARCH("Style",Form_Responses3[[#This Row],[Purchase_Factors]]))</f>
        <v>0</v>
      </c>
      <c r="Q11">
        <f>--ISNUMBER(SEARCH("Quality",Form_Responses3[[#This Row],[Purchase_Factors]]))</f>
        <v>0</v>
      </c>
      <c r="R11">
        <f>--ISNUMBER(SEARCH("Durability",Form_Responses3[[#This Row],[Purchase_Factors]]))</f>
        <v>0</v>
      </c>
      <c r="S11">
        <f>--ISNUMBER(SEARCH("Brand",Form_Responses3[[#This Row],[Purchase_Factors]]))</f>
        <v>0</v>
      </c>
      <c r="T11">
        <f>--ISNUMBER(SEARCH("Discount",Form_Responses3[[#This Row],[Purchase_Factors]]))</f>
        <v>0</v>
      </c>
      <c r="U11">
        <f>--ISNUMBER(SEARCH("Reviews",Form_Responses3[[#This Row],[Purchase_Factors]]))</f>
        <v>0</v>
      </c>
      <c r="V11">
        <f>--ISNUMBER(SEARCH("Latest Trends",Form_Responses3[[#This Row],[Purchase_Factors]]))</f>
        <v>0</v>
      </c>
      <c r="W11">
        <f>--ISNUMBER(SEARCH("Comfortable",Form_Responses3[[#This Row],[Bata_Perception]]))</f>
        <v>1</v>
      </c>
      <c r="X11">
        <f>--ISNUMBER(SEARCH("Affordable",Form_Responses3[[#This Row],[Bata_Perception]]))</f>
        <v>0</v>
      </c>
      <c r="Y11">
        <f>--ISNUMBER(SEARCH("Reliable",Form_Responses3[[#This Row],[Bata_Perception]]))</f>
        <v>0</v>
      </c>
      <c r="Z11">
        <f>--ISNUMBER(SEARCH("Good Quality",Form_Responses3[[#This Row],[Bata_Perception]]))</f>
        <v>0</v>
      </c>
      <c r="AA11">
        <f>--ISNUMBER(SEARCH("Stylish",Form_Responses3[[#This Row],[Bata_Perception]]))</f>
        <v>1</v>
      </c>
      <c r="AB11">
        <f>--ISNUMBER(SEARCH("Trendy",Form_Responses3[[#This Row],[Bata_Perception]]))</f>
        <v>0</v>
      </c>
      <c r="AC11">
        <f>--ISNUMBER(SEARCH("Traditional",Form_Responses3[[#This Row],[Bata_Perception]]))</f>
        <v>0</v>
      </c>
      <c r="AD11">
        <f>--ISNUMBER(SEARCH("Youth Friendly",Form_Responses3[[#This Row],[Bata_Perception]]))</f>
        <v>0</v>
      </c>
      <c r="AE11">
        <f>--ISNUMBER(SEARCH("Easily Available",Form_Responses3[[#This Row],[Bata_Perception]]))</f>
        <v>0</v>
      </c>
      <c r="AF11">
        <f>--ISNUMBER(SEARCH("Not Sure",Form_Responses3[[#This Row],[Bata_Perception]]))</f>
        <v>0</v>
      </c>
      <c r="AG11" t="str">
        <f>IF(OR(Form_Responses3[[#This Row],[Bata_Purchase_History]]="Yes, recently",Form_Responses3[[#This Row],[Bata_Purchase_History]]="Yes, but long ago"), "Yes", "No")</f>
        <v>No</v>
      </c>
      <c r="AH11" t="str">
        <f>IF(Form_Responses3[[#This Row],[Purchase_Likelihood]]&lt;=2,"Low",IF(Form_Responses3[[#This Row],[Purchase_Likelihood]]=3,"Neutral","High"))</f>
        <v>High</v>
      </c>
      <c r="AI11">
        <f>_xlfn.SWITCH(Form_Responses3[[#This Row],[Spending_Range]],
"Below ₹1,000",1,
"₹1,000–1,999",2,
"₹2,000–2,999",3,
"₹3,000–4,999",4,
"₹5,000+",5,
"")</f>
        <v>2</v>
      </c>
      <c r="AJ11">
        <f>SUM(Form_Responses3[[#This Row],[PF_Comfort]:[PF_Latest_Trends]])</f>
        <v>1</v>
      </c>
      <c r="AK11">
        <v>10</v>
      </c>
      <c r="AL11">
        <f>--ISNUMBER(SEARCH("Trendier designs",Form_Responses3[[#This Row],[Desired_Improvement]]))</f>
        <v>0</v>
      </c>
      <c r="AM11">
        <f>--ISNUMBER(SEARCH("More Sneakers",Form_Responses3[[#This Row],[Desired_Improvement]]))</f>
        <v>1</v>
      </c>
      <c r="AN11">
        <f>--ISNUMBER(SEARCH("Student friendly prices",Form_Responses3[[#This Row],[Desired_Improvement]]))</f>
        <v>1</v>
      </c>
      <c r="AO11">
        <f>--ISNUMBER(SEARCH("Influencer Collaborations",Form_Responses3[[#This Row],[Desired_Improvement]]))</f>
        <v>0</v>
      </c>
      <c r="AP11">
        <f>--ISNUMBER(SEARCH("Better Social Media",Form_Responses3[[#This Row],[Desired_Improvement]]))</f>
        <v>0</v>
      </c>
      <c r="AQ11">
        <f>--ISNUMBER(SEARCH("Limited-edited collections",Form_Responses3[[#This Row],[Desired_Improvement]]))</f>
        <v>0</v>
      </c>
      <c r="AR11">
        <f>--ISNUMBER(SEARCH("Better online shopping",Form_Responses3[[#This Row],[Desired_Improvement]]))</f>
        <v>0</v>
      </c>
      <c r="AS11">
        <f>--ISNUMBER(SEARCH("Loyalty rewards",Form_Responses3[[#This Row],[Desired_Improvement]]))</f>
        <v>0</v>
      </c>
    </row>
    <row r="12" spans="1:45" ht="22.5" customHeight="1" x14ac:dyDescent="0.25">
      <c r="A12" s="2">
        <v>46286.648092974538</v>
      </c>
      <c r="B12" s="3" t="s">
        <v>24</v>
      </c>
      <c r="C12" s="3" t="s">
        <v>25</v>
      </c>
      <c r="D12" s="3" t="s">
        <v>38</v>
      </c>
      <c r="E12" s="3" t="s">
        <v>26</v>
      </c>
      <c r="F12" s="3" t="s">
        <v>48</v>
      </c>
      <c r="G12" s="3" t="s">
        <v>49</v>
      </c>
      <c r="H12" s="3" t="s">
        <v>19</v>
      </c>
      <c r="I12" s="3" t="s">
        <v>20</v>
      </c>
      <c r="J12" s="8">
        <v>4</v>
      </c>
      <c r="K12" s="3" t="s">
        <v>35</v>
      </c>
      <c r="L12" s="3" t="s">
        <v>50</v>
      </c>
      <c r="M12" s="3" t="s">
        <v>51</v>
      </c>
      <c r="N12">
        <f>--ISNUMBER(SEARCH("Comfort",Form_Responses3[[#This Row],[Purchase_Factors]]))</f>
        <v>0</v>
      </c>
      <c r="O12">
        <f>--ISNUMBER(SEARCH("Price",Form_Responses3[[#This Row],[Purchase_Factors]]))</f>
        <v>0</v>
      </c>
      <c r="P12">
        <f>--ISNUMBER(SEARCH("Style",Form_Responses3[[#This Row],[Purchase_Factors]]))</f>
        <v>1</v>
      </c>
      <c r="Q12">
        <f>--ISNUMBER(SEARCH("Quality",Form_Responses3[[#This Row],[Purchase_Factors]]))</f>
        <v>0</v>
      </c>
      <c r="R12">
        <f>--ISNUMBER(SEARCH("Durability",Form_Responses3[[#This Row],[Purchase_Factors]]))</f>
        <v>0</v>
      </c>
      <c r="S12">
        <f>--ISNUMBER(SEARCH("Brand",Form_Responses3[[#This Row],[Purchase_Factors]]))</f>
        <v>0</v>
      </c>
      <c r="T12">
        <f>--ISNUMBER(SEARCH("Discount",Form_Responses3[[#This Row],[Purchase_Factors]]))</f>
        <v>0</v>
      </c>
      <c r="U12">
        <f>--ISNUMBER(SEARCH("Reviews",Form_Responses3[[#This Row],[Purchase_Factors]]))</f>
        <v>0</v>
      </c>
      <c r="V12">
        <f>--ISNUMBER(SEARCH("Latest Trends",Form_Responses3[[#This Row],[Purchase_Factors]]))</f>
        <v>0</v>
      </c>
      <c r="W12">
        <f>--ISNUMBER(SEARCH("Comfortable",Form_Responses3[[#This Row],[Bata_Perception]]))</f>
        <v>1</v>
      </c>
      <c r="X12">
        <f>--ISNUMBER(SEARCH("Affordable",Form_Responses3[[#This Row],[Bata_Perception]]))</f>
        <v>1</v>
      </c>
      <c r="Y12">
        <f>--ISNUMBER(SEARCH("Reliable",Form_Responses3[[#This Row],[Bata_Perception]]))</f>
        <v>0</v>
      </c>
      <c r="Z12">
        <f>--ISNUMBER(SEARCH("Good Quality",Form_Responses3[[#This Row],[Bata_Perception]]))</f>
        <v>1</v>
      </c>
      <c r="AA12">
        <f>--ISNUMBER(SEARCH("Stylish",Form_Responses3[[#This Row],[Bata_Perception]]))</f>
        <v>0</v>
      </c>
      <c r="AB12">
        <f>--ISNUMBER(SEARCH("Trendy",Form_Responses3[[#This Row],[Bata_Perception]]))</f>
        <v>0</v>
      </c>
      <c r="AC12">
        <f>--ISNUMBER(SEARCH("Traditional",Form_Responses3[[#This Row],[Bata_Perception]]))</f>
        <v>0</v>
      </c>
      <c r="AD12">
        <f>--ISNUMBER(SEARCH("Youth Friendly",Form_Responses3[[#This Row],[Bata_Perception]]))</f>
        <v>0</v>
      </c>
      <c r="AE12">
        <f>--ISNUMBER(SEARCH("Easily Available",Form_Responses3[[#This Row],[Bata_Perception]]))</f>
        <v>0</v>
      </c>
      <c r="AF12">
        <f>--ISNUMBER(SEARCH("Not Sure",Form_Responses3[[#This Row],[Bata_Perception]]))</f>
        <v>0</v>
      </c>
      <c r="AG12" t="str">
        <f>IF(OR(Form_Responses3[[#This Row],[Bata_Purchase_History]]="Yes, recently",Form_Responses3[[#This Row],[Bata_Purchase_History]]="Yes, but long ago"), "Yes", "No")</f>
        <v>Yes</v>
      </c>
      <c r="AH12" t="str">
        <f>IF(Form_Responses3[[#This Row],[Purchase_Likelihood]]&lt;=2,"Low",IF(Form_Responses3[[#This Row],[Purchase_Likelihood]]=3,"Neutral","High"))</f>
        <v>High</v>
      </c>
      <c r="AI12">
        <f>_xlfn.SWITCH(Form_Responses3[[#This Row],[Spending_Range]],
"Below ₹1,000",1,
"₹1,000–1,999",2,
"₹2,000–2,999",3,
"₹3,000–4,999",4,
"₹5,000+",5,
"")</f>
        <v>2</v>
      </c>
      <c r="AJ12">
        <f>SUM(Form_Responses3[[#This Row],[PF_Comfort]:[PF_Latest_Trends]])</f>
        <v>1</v>
      </c>
      <c r="AK12">
        <v>11</v>
      </c>
      <c r="AL12">
        <f>--ISNUMBER(SEARCH("Trendier designs",Form_Responses3[[#This Row],[Desired_Improvement]]))</f>
        <v>0</v>
      </c>
      <c r="AM12">
        <f>--ISNUMBER(SEARCH("More Sneakers",Form_Responses3[[#This Row],[Desired_Improvement]]))</f>
        <v>0</v>
      </c>
      <c r="AN12">
        <f>--ISNUMBER(SEARCH("Student friendly prices",Form_Responses3[[#This Row],[Desired_Improvement]]))</f>
        <v>1</v>
      </c>
      <c r="AO12">
        <f>--ISNUMBER(SEARCH("Influencer Collaborations",Form_Responses3[[#This Row],[Desired_Improvement]]))</f>
        <v>0</v>
      </c>
      <c r="AP12">
        <f>--ISNUMBER(SEARCH("Better Social Media",Form_Responses3[[#This Row],[Desired_Improvement]]))</f>
        <v>1</v>
      </c>
      <c r="AQ12">
        <f>--ISNUMBER(SEARCH("Limited-edited collections",Form_Responses3[[#This Row],[Desired_Improvement]]))</f>
        <v>0</v>
      </c>
      <c r="AR12">
        <f>--ISNUMBER(SEARCH("Better online shopping",Form_Responses3[[#This Row],[Desired_Improvement]]))</f>
        <v>0</v>
      </c>
      <c r="AS12">
        <f>--ISNUMBER(SEARCH("Loyalty rewards",Form_Responses3[[#This Row],[Desired_Improvement]]))</f>
        <v>0</v>
      </c>
    </row>
    <row r="13" spans="1:45" ht="22.5" customHeight="1" x14ac:dyDescent="0.25">
      <c r="A13" s="2">
        <v>46286.755069062499</v>
      </c>
      <c r="B13" s="3" t="s">
        <v>52</v>
      </c>
      <c r="C13" s="3" t="s">
        <v>52</v>
      </c>
      <c r="D13" s="3" t="s">
        <v>38</v>
      </c>
      <c r="E13" s="3" t="s">
        <v>26</v>
      </c>
      <c r="F13" s="3" t="s">
        <v>17</v>
      </c>
      <c r="G13" s="3" t="s">
        <v>39</v>
      </c>
      <c r="H13" s="3" t="s">
        <v>53</v>
      </c>
      <c r="I13" s="3" t="s">
        <v>66</v>
      </c>
      <c r="J13" s="8">
        <v>4</v>
      </c>
      <c r="K13" s="3" t="s">
        <v>21</v>
      </c>
      <c r="L13" s="3" t="s">
        <v>67</v>
      </c>
      <c r="M13" s="3" t="s">
        <v>68</v>
      </c>
      <c r="N13">
        <f>--ISNUMBER(SEARCH("Comfort",Form_Responses3[[#This Row],[Purchase_Factors]]))</f>
        <v>1</v>
      </c>
      <c r="O13">
        <f>--ISNUMBER(SEARCH("Price",Form_Responses3[[#This Row],[Purchase_Factors]]))</f>
        <v>0</v>
      </c>
      <c r="P13">
        <f>--ISNUMBER(SEARCH("Style",Form_Responses3[[#This Row],[Purchase_Factors]]))</f>
        <v>0</v>
      </c>
      <c r="Q13">
        <f>--ISNUMBER(SEARCH("Quality",Form_Responses3[[#This Row],[Purchase_Factors]]))</f>
        <v>0</v>
      </c>
      <c r="R13">
        <f>--ISNUMBER(SEARCH("Durability",Form_Responses3[[#This Row],[Purchase_Factors]]))</f>
        <v>0</v>
      </c>
      <c r="S13">
        <f>--ISNUMBER(SEARCH("Brand",Form_Responses3[[#This Row],[Purchase_Factors]]))</f>
        <v>0</v>
      </c>
      <c r="T13">
        <f>--ISNUMBER(SEARCH("Discount",Form_Responses3[[#This Row],[Purchase_Factors]]))</f>
        <v>0</v>
      </c>
      <c r="U13">
        <f>--ISNUMBER(SEARCH("Reviews",Form_Responses3[[#This Row],[Purchase_Factors]]))</f>
        <v>0</v>
      </c>
      <c r="V13">
        <f>--ISNUMBER(SEARCH("Latest Trends",Form_Responses3[[#This Row],[Purchase_Factors]]))</f>
        <v>0</v>
      </c>
      <c r="W13">
        <f>--ISNUMBER(SEARCH("Comfortable",Form_Responses3[[#This Row],[Bata_Perception]]))</f>
        <v>0</v>
      </c>
      <c r="X13">
        <f>--ISNUMBER(SEARCH("Affordable",Form_Responses3[[#This Row],[Bata_Perception]]))</f>
        <v>0</v>
      </c>
      <c r="Y13">
        <f>--ISNUMBER(SEARCH("Reliable",Form_Responses3[[#This Row],[Bata_Perception]]))</f>
        <v>0</v>
      </c>
      <c r="Z13">
        <f>--ISNUMBER(SEARCH("Good Quality",Form_Responses3[[#This Row],[Bata_Perception]]))</f>
        <v>1</v>
      </c>
      <c r="AA13">
        <f>--ISNUMBER(SEARCH("Stylish",Form_Responses3[[#This Row],[Bata_Perception]]))</f>
        <v>0</v>
      </c>
      <c r="AB13">
        <f>--ISNUMBER(SEARCH("Trendy",Form_Responses3[[#This Row],[Bata_Perception]]))</f>
        <v>0</v>
      </c>
      <c r="AC13">
        <f>--ISNUMBER(SEARCH("Traditional",Form_Responses3[[#This Row],[Bata_Perception]]))</f>
        <v>0</v>
      </c>
      <c r="AD13">
        <f>--ISNUMBER(SEARCH("Youth Friendly",Form_Responses3[[#This Row],[Bata_Perception]]))</f>
        <v>0</v>
      </c>
      <c r="AE13">
        <f>--ISNUMBER(SEARCH("Easily Available",Form_Responses3[[#This Row],[Bata_Perception]]))</f>
        <v>0</v>
      </c>
      <c r="AF13">
        <f>--ISNUMBER(SEARCH("Not Sure",Form_Responses3[[#This Row],[Bata_Perception]]))</f>
        <v>0</v>
      </c>
      <c r="AG13" t="str">
        <f>IF(OR(Form_Responses3[[#This Row],[Bata_Purchase_History]]="Yes, recently",Form_Responses3[[#This Row],[Bata_Purchase_History]]="Yes, but long ago"), "Yes", "No")</f>
        <v>Yes</v>
      </c>
      <c r="AH13" t="str">
        <f>IF(Form_Responses3[[#This Row],[Purchase_Likelihood]]&lt;=2,"Low",IF(Form_Responses3[[#This Row],[Purchase_Likelihood]]=3,"Neutral","High"))</f>
        <v>High</v>
      </c>
      <c r="AI13">
        <f>_xlfn.SWITCH(Form_Responses3[[#This Row],[Spending_Range]],
"Below ₹1,000",1,
"₹1,000–1,999",2,
"₹2,000–2,999",3,
"₹3,000–4,999",4,
"₹5,000+",5,
"")</f>
        <v>2</v>
      </c>
      <c r="AJ13">
        <f>SUM(Form_Responses3[[#This Row],[PF_Comfort]:[PF_Latest_Trends]])</f>
        <v>1</v>
      </c>
      <c r="AK13">
        <v>12</v>
      </c>
      <c r="AL13">
        <f>--ISNUMBER(SEARCH("Trendier designs",Form_Responses3[[#This Row],[Desired_Improvement]]))</f>
        <v>0</v>
      </c>
      <c r="AM13">
        <f>--ISNUMBER(SEARCH("More Sneakers",Form_Responses3[[#This Row],[Desired_Improvement]]))</f>
        <v>0</v>
      </c>
      <c r="AN13">
        <f>--ISNUMBER(SEARCH("Student friendly prices",Form_Responses3[[#This Row],[Desired_Improvement]]))</f>
        <v>0</v>
      </c>
      <c r="AO13">
        <f>--ISNUMBER(SEARCH("Influencer Collaborations",Form_Responses3[[#This Row],[Desired_Improvement]]))</f>
        <v>0</v>
      </c>
      <c r="AP13">
        <f>--ISNUMBER(SEARCH("Better Social Media",Form_Responses3[[#This Row],[Desired_Improvement]]))</f>
        <v>0</v>
      </c>
      <c r="AQ13">
        <f>--ISNUMBER(SEARCH("Limited-edited collections",Form_Responses3[[#This Row],[Desired_Improvement]]))</f>
        <v>0</v>
      </c>
      <c r="AR13">
        <f>--ISNUMBER(SEARCH("Better online shopping",Form_Responses3[[#This Row],[Desired_Improvement]]))</f>
        <v>0</v>
      </c>
      <c r="AS13">
        <f>--ISNUMBER(SEARCH("Loyalty rewards",Form_Responses3[[#This Row],[Desired_Improvement]]))</f>
        <v>1</v>
      </c>
    </row>
    <row r="14" spans="1:45" ht="22.5" customHeight="1" x14ac:dyDescent="0.25">
      <c r="A14" s="2">
        <v>46286.768474166667</v>
      </c>
      <c r="B14" s="3" t="s">
        <v>13</v>
      </c>
      <c r="C14" s="3" t="s">
        <v>14</v>
      </c>
      <c r="D14" s="3" t="s">
        <v>60</v>
      </c>
      <c r="E14" s="3" t="s">
        <v>26</v>
      </c>
      <c r="F14" s="3" t="s">
        <v>57</v>
      </c>
      <c r="G14" s="3" t="s">
        <v>18</v>
      </c>
      <c r="H14" s="3" t="s">
        <v>19</v>
      </c>
      <c r="I14" s="3" t="s">
        <v>69</v>
      </c>
      <c r="J14" s="8">
        <v>4</v>
      </c>
      <c r="K14" s="3" t="s">
        <v>62</v>
      </c>
      <c r="L14" s="3" t="s">
        <v>36</v>
      </c>
      <c r="M14" s="3" t="s">
        <v>96</v>
      </c>
      <c r="N14">
        <f>--ISNUMBER(SEARCH("Comfort",Form_Responses3[[#This Row],[Purchase_Factors]]))</f>
        <v>0</v>
      </c>
      <c r="O14">
        <f>--ISNUMBER(SEARCH("Price",Form_Responses3[[#This Row],[Purchase_Factors]]))</f>
        <v>0</v>
      </c>
      <c r="P14">
        <f>--ISNUMBER(SEARCH("Style",Form_Responses3[[#This Row],[Purchase_Factors]]))</f>
        <v>0</v>
      </c>
      <c r="Q14">
        <f>--ISNUMBER(SEARCH("Quality",Form_Responses3[[#This Row],[Purchase_Factors]]))</f>
        <v>1</v>
      </c>
      <c r="R14">
        <f>--ISNUMBER(SEARCH("Durability",Form_Responses3[[#This Row],[Purchase_Factors]]))</f>
        <v>0</v>
      </c>
      <c r="S14">
        <f>--ISNUMBER(SEARCH("Brand",Form_Responses3[[#This Row],[Purchase_Factors]]))</f>
        <v>0</v>
      </c>
      <c r="T14">
        <f>--ISNUMBER(SEARCH("Discount",Form_Responses3[[#This Row],[Purchase_Factors]]))</f>
        <v>0</v>
      </c>
      <c r="U14">
        <f>--ISNUMBER(SEARCH("Reviews",Form_Responses3[[#This Row],[Purchase_Factors]]))</f>
        <v>0</v>
      </c>
      <c r="V14">
        <f>--ISNUMBER(SEARCH("Latest Trends",Form_Responses3[[#This Row],[Purchase_Factors]]))</f>
        <v>0</v>
      </c>
      <c r="W14">
        <f>--ISNUMBER(SEARCH("Comfortable",Form_Responses3[[#This Row],[Bata_Perception]]))</f>
        <v>0</v>
      </c>
      <c r="X14">
        <f>--ISNUMBER(SEARCH("Affordable",Form_Responses3[[#This Row],[Bata_Perception]]))</f>
        <v>0</v>
      </c>
      <c r="Y14">
        <f>--ISNUMBER(SEARCH("Reliable",Form_Responses3[[#This Row],[Bata_Perception]]))</f>
        <v>0</v>
      </c>
      <c r="Z14">
        <f>--ISNUMBER(SEARCH("Good Quality",Form_Responses3[[#This Row],[Bata_Perception]]))</f>
        <v>0</v>
      </c>
      <c r="AA14">
        <f>--ISNUMBER(SEARCH("Stylish",Form_Responses3[[#This Row],[Bata_Perception]]))</f>
        <v>0</v>
      </c>
      <c r="AB14">
        <f>--ISNUMBER(SEARCH("Trendy",Form_Responses3[[#This Row],[Bata_Perception]]))</f>
        <v>0</v>
      </c>
      <c r="AC14">
        <f>--ISNUMBER(SEARCH("Traditional",Form_Responses3[[#This Row],[Bata_Perception]]))</f>
        <v>0</v>
      </c>
      <c r="AD14">
        <f>--ISNUMBER(SEARCH("Youth Friendly",Form_Responses3[[#This Row],[Bata_Perception]]))</f>
        <v>1</v>
      </c>
      <c r="AE14">
        <f>--ISNUMBER(SEARCH("Easily Available",Form_Responses3[[#This Row],[Bata_Perception]]))</f>
        <v>0</v>
      </c>
      <c r="AF14">
        <f>--ISNUMBER(SEARCH("Not Sure",Form_Responses3[[#This Row],[Bata_Perception]]))</f>
        <v>0</v>
      </c>
      <c r="AG14" t="str">
        <f>IF(OR(Form_Responses3[[#This Row],[Bata_Purchase_History]]="Yes, recently",Form_Responses3[[#This Row],[Bata_Purchase_History]]="Yes, but long ago"), "Yes", "No")</f>
        <v>Yes</v>
      </c>
      <c r="AH14" t="str">
        <f>IF(Form_Responses3[[#This Row],[Purchase_Likelihood]]&lt;=2,"Low",IF(Form_Responses3[[#This Row],[Purchase_Likelihood]]=3,"Neutral","High"))</f>
        <v>High</v>
      </c>
      <c r="AI14">
        <f>_xlfn.SWITCH(Form_Responses3[[#This Row],[Spending_Range]],
"Below ₹1,000",1,
"₹1,000–1,999",2,
"₹2,000–2,999",3,
"₹3,000–4,999",4,
"₹5,000+",5,
"")</f>
        <v>3</v>
      </c>
      <c r="AJ14">
        <f>SUM(Form_Responses3[[#This Row],[PF_Comfort]:[PF_Latest_Trends]])</f>
        <v>1</v>
      </c>
      <c r="AK14">
        <v>13</v>
      </c>
      <c r="AL14">
        <f>--ISNUMBER(SEARCH("Trendier designs",Form_Responses3[[#This Row],[Desired_Improvement]]))</f>
        <v>0</v>
      </c>
      <c r="AM14">
        <f>--ISNUMBER(SEARCH("More Sneakers",Form_Responses3[[#This Row],[Desired_Improvement]]))</f>
        <v>0</v>
      </c>
      <c r="AN14">
        <f>--ISNUMBER(SEARCH("Student friendly prices",Form_Responses3[[#This Row],[Desired_Improvement]]))</f>
        <v>1</v>
      </c>
      <c r="AO14">
        <f>--ISNUMBER(SEARCH("Influencer Collaborations",Form_Responses3[[#This Row],[Desired_Improvement]]))</f>
        <v>0</v>
      </c>
      <c r="AP14">
        <f>--ISNUMBER(SEARCH("Better Social Media",Form_Responses3[[#This Row],[Desired_Improvement]]))</f>
        <v>0</v>
      </c>
      <c r="AQ14">
        <f>--ISNUMBER(SEARCH("Limited-edited collections",Form_Responses3[[#This Row],[Desired_Improvement]]))</f>
        <v>0</v>
      </c>
      <c r="AR14">
        <f>--ISNUMBER(SEARCH("Better online shopping",Form_Responses3[[#This Row],[Desired_Improvement]]))</f>
        <v>0</v>
      </c>
      <c r="AS14">
        <f>--ISNUMBER(SEARCH("Loyalty rewards",Form_Responses3[[#This Row],[Desired_Improvement]]))</f>
        <v>0</v>
      </c>
    </row>
    <row r="15" spans="1:45" ht="22.5" customHeight="1" x14ac:dyDescent="0.25">
      <c r="A15" s="2">
        <v>46286.830607581018</v>
      </c>
      <c r="B15" s="3" t="s">
        <v>13</v>
      </c>
      <c r="C15" s="3" t="s">
        <v>25</v>
      </c>
      <c r="D15" s="3" t="s">
        <v>60</v>
      </c>
      <c r="E15" s="3" t="s">
        <v>26</v>
      </c>
      <c r="F15" s="3" t="s">
        <v>75</v>
      </c>
      <c r="G15" s="3" t="s">
        <v>52</v>
      </c>
      <c r="H15" s="3" t="s">
        <v>19</v>
      </c>
      <c r="I15" s="3" t="s">
        <v>76</v>
      </c>
      <c r="J15" s="8">
        <v>4</v>
      </c>
      <c r="K15" s="3" t="s">
        <v>21</v>
      </c>
      <c r="L15" s="7" t="s">
        <v>100</v>
      </c>
      <c r="M15" s="3" t="s">
        <v>98</v>
      </c>
      <c r="N15">
        <f>--ISNUMBER(SEARCH("Comfort",Form_Responses3[[#This Row],[Purchase_Factors]]))</f>
        <v>1</v>
      </c>
      <c r="O15">
        <f>--ISNUMBER(SEARCH("Price",Form_Responses3[[#This Row],[Purchase_Factors]]))</f>
        <v>1</v>
      </c>
      <c r="P15">
        <f>--ISNUMBER(SEARCH("Style",Form_Responses3[[#This Row],[Purchase_Factors]]))</f>
        <v>1</v>
      </c>
      <c r="Q15">
        <f>--ISNUMBER(SEARCH("Quality",Form_Responses3[[#This Row],[Purchase_Factors]]))</f>
        <v>0</v>
      </c>
      <c r="R15">
        <f>--ISNUMBER(SEARCH("Durability",Form_Responses3[[#This Row],[Purchase_Factors]]))</f>
        <v>0</v>
      </c>
      <c r="S15">
        <f>--ISNUMBER(SEARCH("Brand",Form_Responses3[[#This Row],[Purchase_Factors]]))</f>
        <v>0</v>
      </c>
      <c r="T15">
        <f>--ISNUMBER(SEARCH("Discount",Form_Responses3[[#This Row],[Purchase_Factors]]))</f>
        <v>0</v>
      </c>
      <c r="U15">
        <f>--ISNUMBER(SEARCH("Reviews",Form_Responses3[[#This Row],[Purchase_Factors]]))</f>
        <v>0</v>
      </c>
      <c r="V15">
        <f>--ISNUMBER(SEARCH("Latest Trends",Form_Responses3[[#This Row],[Purchase_Factors]]))</f>
        <v>0</v>
      </c>
      <c r="W15">
        <f>--ISNUMBER(SEARCH("Comfortable",Form_Responses3[[#This Row],[Bata_Perception]]))</f>
        <v>0</v>
      </c>
      <c r="X15">
        <f>--ISNUMBER(SEARCH("Affordable",Form_Responses3[[#This Row],[Bata_Perception]]))</f>
        <v>0</v>
      </c>
      <c r="Y15">
        <f>--ISNUMBER(SEARCH("Reliable",Form_Responses3[[#This Row],[Bata_Perception]]))</f>
        <v>0</v>
      </c>
      <c r="Z15">
        <f>--ISNUMBER(SEARCH("Good Quality",Form_Responses3[[#This Row],[Bata_Perception]]))</f>
        <v>0</v>
      </c>
      <c r="AA15">
        <f>--ISNUMBER(SEARCH("Stylish",Form_Responses3[[#This Row],[Bata_Perception]]))</f>
        <v>0</v>
      </c>
      <c r="AB15">
        <f>--ISNUMBER(SEARCH("Trendy",Form_Responses3[[#This Row],[Bata_Perception]]))</f>
        <v>0</v>
      </c>
      <c r="AC15">
        <f>--ISNUMBER(SEARCH("Traditional",Form_Responses3[[#This Row],[Bata_Perception]]))</f>
        <v>0</v>
      </c>
      <c r="AD15">
        <f>--ISNUMBER(SEARCH("Youth Friendly",Form_Responses3[[#This Row],[Bata_Perception]]))</f>
        <v>0</v>
      </c>
      <c r="AE15">
        <f>--ISNUMBER(SEARCH("Easily Available",Form_Responses3[[#This Row],[Bata_Perception]]))</f>
        <v>1</v>
      </c>
      <c r="AF15">
        <f>--ISNUMBER(SEARCH("Not Sure",Form_Responses3[[#This Row],[Bata_Perception]]))</f>
        <v>0</v>
      </c>
      <c r="AG15" t="str">
        <f>IF(OR(Form_Responses3[[#This Row],[Bata_Purchase_History]]="Yes, recently",Form_Responses3[[#This Row],[Bata_Purchase_History]]="Yes, but long ago"), "Yes", "No")</f>
        <v>Yes</v>
      </c>
      <c r="AH15" t="str">
        <f>IF(Form_Responses3[[#This Row],[Purchase_Likelihood]]&lt;=2,"Low",IF(Form_Responses3[[#This Row],[Purchase_Likelihood]]=3,"Neutral","High"))</f>
        <v>High</v>
      </c>
      <c r="AI15">
        <f>_xlfn.SWITCH(Form_Responses3[[#This Row],[Spending_Range]],
"Below ₹1,000",1,
"₹1,000–1,999",2,
"₹2,000–2,999",3,
"₹3,000–4,999",4,
"₹5,000+",5,
"")</f>
        <v>3</v>
      </c>
      <c r="AJ15">
        <f>SUM(Form_Responses3[[#This Row],[PF_Comfort]:[PF_Latest_Trends]])</f>
        <v>3</v>
      </c>
      <c r="AK15">
        <v>14</v>
      </c>
      <c r="AL15">
        <f>--ISNUMBER(SEARCH("Trendier designs",Form_Responses3[[#This Row],[Desired_Improvement]]))</f>
        <v>0</v>
      </c>
      <c r="AM15">
        <f>--ISNUMBER(SEARCH("More Sneakers",Form_Responses3[[#This Row],[Desired_Improvement]]))</f>
        <v>0</v>
      </c>
      <c r="AN15">
        <f>--ISNUMBER(SEARCH("Student friendly prices",Form_Responses3[[#This Row],[Desired_Improvement]]))</f>
        <v>0</v>
      </c>
      <c r="AO15">
        <f>--ISNUMBER(SEARCH("Influencer Collaborations",Form_Responses3[[#This Row],[Desired_Improvement]]))</f>
        <v>0</v>
      </c>
      <c r="AP15">
        <f>--ISNUMBER(SEARCH("Better Social Media",Form_Responses3[[#This Row],[Desired_Improvement]]))</f>
        <v>0</v>
      </c>
      <c r="AQ15">
        <f>--ISNUMBER(SEARCH("Limited-edited collections",Form_Responses3[[#This Row],[Desired_Improvement]]))</f>
        <v>1</v>
      </c>
      <c r="AR15">
        <f>--ISNUMBER(SEARCH("Better online shopping",Form_Responses3[[#This Row],[Desired_Improvement]]))</f>
        <v>0</v>
      </c>
      <c r="AS15">
        <f>--ISNUMBER(SEARCH("Loyalty rewards",Form_Responses3[[#This Row],[Desired_Improvement]]))</f>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9FC26-3D7F-4EB7-A4EE-3A65CEDBE108}">
  <dimension ref="A1:U128"/>
  <sheetViews>
    <sheetView topLeftCell="A55" zoomScale="73" workbookViewId="0">
      <selection activeCell="E5" sqref="E5"/>
    </sheetView>
  </sheetViews>
  <sheetFormatPr defaultRowHeight="13.2" x14ac:dyDescent="0.25"/>
  <cols>
    <col min="1" max="1" width="12.44140625" bestFit="1" customWidth="1"/>
    <col min="2" max="2" width="14.109375" bestFit="1" customWidth="1"/>
    <col min="3" max="3" width="24" bestFit="1" customWidth="1"/>
    <col min="4" max="4" width="26" bestFit="1" customWidth="1"/>
    <col min="5" max="5" width="31.88671875" bestFit="1" customWidth="1"/>
    <col min="6" max="6" width="10.77734375" bestFit="1" customWidth="1"/>
    <col min="7" max="7" width="20" customWidth="1"/>
    <col min="8" max="8" width="25.44140625" bestFit="1" customWidth="1"/>
    <col min="9" max="9" width="22" bestFit="1" customWidth="1"/>
    <col min="10" max="10" width="17.109375" bestFit="1" customWidth="1"/>
    <col min="11" max="11" width="9.88671875" customWidth="1"/>
    <col min="12" max="12" width="14.109375" customWidth="1"/>
    <col min="13" max="13" width="10.77734375" bestFit="1" customWidth="1"/>
    <col min="14" max="15" width="22" bestFit="1" customWidth="1"/>
    <col min="16" max="16" width="7.88671875" bestFit="1" customWidth="1"/>
    <col min="17" max="17" width="23.6640625" customWidth="1"/>
    <col min="18" max="18" width="20.109375" bestFit="1" customWidth="1"/>
    <col min="19" max="19" width="17.109375" bestFit="1" customWidth="1"/>
    <col min="20" max="20" width="25.44140625" bestFit="1" customWidth="1"/>
    <col min="21" max="22" width="19.44140625" bestFit="1" customWidth="1"/>
  </cols>
  <sheetData>
    <row r="1" spans="1:17" ht="37.799999999999997" x14ac:dyDescent="0.65">
      <c r="E1" s="65" t="s">
        <v>524</v>
      </c>
      <c r="F1" s="65"/>
      <c r="G1" s="65"/>
      <c r="H1" s="65"/>
      <c r="I1" s="65"/>
      <c r="J1" s="65"/>
      <c r="K1" s="65"/>
      <c r="L1" s="6"/>
    </row>
    <row r="3" spans="1:17" ht="13.8" thickBot="1" x14ac:dyDescent="0.3"/>
    <row r="4" spans="1:17" ht="40.200000000000003" thickBot="1" x14ac:dyDescent="0.3">
      <c r="A4" s="66" t="s">
        <v>135</v>
      </c>
      <c r="B4" s="68"/>
      <c r="D4" s="22" t="s">
        <v>139</v>
      </c>
      <c r="G4" s="22" t="s">
        <v>141</v>
      </c>
      <c r="I4" s="25" t="s">
        <v>147</v>
      </c>
      <c r="L4" s="40" t="s">
        <v>193</v>
      </c>
      <c r="N4" s="40" t="s">
        <v>147</v>
      </c>
      <c r="Q4" s="40" t="s">
        <v>195</v>
      </c>
    </row>
    <row r="5" spans="1:17" ht="13.8" thickBot="1" x14ac:dyDescent="0.3">
      <c r="A5" s="66">
        <f>COUNTA(Cleaned_Data!AK2:AK15)</f>
        <v>14</v>
      </c>
      <c r="B5" s="68"/>
      <c r="D5" s="23" t="s">
        <v>140</v>
      </c>
      <c r="G5" s="23" t="s">
        <v>26</v>
      </c>
      <c r="I5" s="23">
        <f>AVERAGE(Form_Responses3[Purchase_Likelihood])</f>
        <v>3</v>
      </c>
      <c r="L5" s="39" t="s">
        <v>194</v>
      </c>
      <c r="N5" s="42" t="s">
        <v>196</v>
      </c>
      <c r="Q5" s="22" t="s">
        <v>197</v>
      </c>
    </row>
    <row r="8" spans="1:17" ht="13.8" thickBot="1" x14ac:dyDescent="0.3"/>
    <row r="9" spans="1:17" ht="13.8" thickBot="1" x14ac:dyDescent="0.3">
      <c r="A9" s="66" t="s">
        <v>125</v>
      </c>
      <c r="B9" s="67"/>
      <c r="C9" s="67"/>
      <c r="D9" s="67"/>
      <c r="E9" s="68"/>
      <c r="G9" s="66" t="s">
        <v>133</v>
      </c>
      <c r="H9" s="67"/>
      <c r="I9" s="67"/>
      <c r="J9" s="68"/>
      <c r="L9" s="66" t="s">
        <v>136</v>
      </c>
      <c r="M9" s="67"/>
      <c r="N9" s="67"/>
      <c r="O9" s="68"/>
    </row>
    <row r="11" spans="1:17" x14ac:dyDescent="0.25">
      <c r="B11" s="12" t="s">
        <v>128</v>
      </c>
      <c r="C11" s="9" t="s">
        <v>132</v>
      </c>
      <c r="D11" s="17" t="s">
        <v>131</v>
      </c>
      <c r="H11" s="12" t="s">
        <v>128</v>
      </c>
      <c r="I11" s="13" t="s">
        <v>132</v>
      </c>
      <c r="M11" s="12" t="s">
        <v>128</v>
      </c>
      <c r="N11" s="13" t="s">
        <v>132</v>
      </c>
    </row>
    <row r="12" spans="1:17" x14ac:dyDescent="0.25">
      <c r="B12" s="14" t="s">
        <v>24</v>
      </c>
      <c r="C12" s="9">
        <v>4</v>
      </c>
      <c r="D12" s="18">
        <v>0.29523809523809524</v>
      </c>
      <c r="H12" s="14" t="s">
        <v>52</v>
      </c>
      <c r="I12" s="13">
        <v>2</v>
      </c>
      <c r="M12" s="14" t="s">
        <v>15</v>
      </c>
      <c r="N12" s="13">
        <v>5</v>
      </c>
    </row>
    <row r="13" spans="1:17" x14ac:dyDescent="0.25">
      <c r="B13" s="15" t="s">
        <v>13</v>
      </c>
      <c r="C13" s="28">
        <v>9</v>
      </c>
      <c r="D13" s="19">
        <v>0.59047619047619049</v>
      </c>
      <c r="H13" s="15" t="s">
        <v>25</v>
      </c>
      <c r="I13" s="30">
        <v>10</v>
      </c>
      <c r="M13" s="15" t="s">
        <v>38</v>
      </c>
      <c r="N13" s="30">
        <v>5</v>
      </c>
    </row>
    <row r="14" spans="1:17" x14ac:dyDescent="0.25">
      <c r="B14" s="15" t="s">
        <v>52</v>
      </c>
      <c r="C14" s="28">
        <v>1</v>
      </c>
      <c r="D14" s="19">
        <v>0.11428571428571428</v>
      </c>
      <c r="H14" s="26" t="s">
        <v>14</v>
      </c>
      <c r="I14" s="30">
        <v>2</v>
      </c>
      <c r="M14" s="15" t="s">
        <v>60</v>
      </c>
      <c r="N14" s="30">
        <v>3</v>
      </c>
    </row>
    <row r="15" spans="1:17" x14ac:dyDescent="0.25">
      <c r="B15" s="16" t="s">
        <v>127</v>
      </c>
      <c r="C15" s="29">
        <v>14</v>
      </c>
      <c r="D15" s="20">
        <v>1</v>
      </c>
      <c r="H15" s="16" t="s">
        <v>127</v>
      </c>
      <c r="I15" s="31">
        <v>14</v>
      </c>
      <c r="M15" s="15" t="s">
        <v>79</v>
      </c>
      <c r="N15" s="30">
        <v>1</v>
      </c>
    </row>
    <row r="16" spans="1:17" x14ac:dyDescent="0.25">
      <c r="M16" s="16" t="s">
        <v>127</v>
      </c>
      <c r="N16" s="31">
        <v>14</v>
      </c>
    </row>
    <row r="30" spans="1:17" ht="13.8" thickBot="1" x14ac:dyDescent="0.3"/>
    <row r="31" spans="1:17" ht="13.8" thickBot="1" x14ac:dyDescent="0.3">
      <c r="A31" s="66" t="s">
        <v>137</v>
      </c>
      <c r="B31" s="67"/>
      <c r="C31" s="67"/>
      <c r="D31" s="68"/>
      <c r="G31" s="66" t="s">
        <v>138</v>
      </c>
      <c r="H31" s="67"/>
      <c r="I31" s="67"/>
      <c r="J31" s="68"/>
      <c r="L31" s="66" t="s">
        <v>142</v>
      </c>
      <c r="M31" s="67"/>
      <c r="N31" s="67"/>
      <c r="O31" s="67"/>
      <c r="P31" s="67"/>
      <c r="Q31" s="68"/>
    </row>
    <row r="32" spans="1:17" x14ac:dyDescent="0.25">
      <c r="E32" s="21"/>
    </row>
    <row r="33" spans="2:17" x14ac:dyDescent="0.25">
      <c r="G33" s="12" t="s">
        <v>128</v>
      </c>
      <c r="H33" s="9" t="s">
        <v>132</v>
      </c>
      <c r="I33" s="17" t="s">
        <v>129</v>
      </c>
      <c r="L33" s="12" t="s">
        <v>130</v>
      </c>
      <c r="M33" s="12" t="s">
        <v>126</v>
      </c>
      <c r="N33" s="10"/>
      <c r="O33" s="10"/>
      <c r="P33" s="10"/>
      <c r="Q33" s="11"/>
    </row>
    <row r="34" spans="2:17" x14ac:dyDescent="0.25">
      <c r="B34" s="12" t="s">
        <v>128</v>
      </c>
      <c r="C34" s="13" t="s">
        <v>132</v>
      </c>
      <c r="G34" s="14" t="s">
        <v>39</v>
      </c>
      <c r="H34" s="9">
        <v>2</v>
      </c>
      <c r="I34" s="18">
        <v>0.20952380952380953</v>
      </c>
      <c r="L34" s="12" t="s">
        <v>128</v>
      </c>
      <c r="M34" s="9" t="s">
        <v>15</v>
      </c>
      <c r="N34" s="24" t="s">
        <v>38</v>
      </c>
      <c r="O34" s="24" t="s">
        <v>60</v>
      </c>
      <c r="P34" s="24" t="s">
        <v>79</v>
      </c>
      <c r="Q34" s="13" t="s">
        <v>127</v>
      </c>
    </row>
    <row r="35" spans="2:17" x14ac:dyDescent="0.25">
      <c r="B35" s="14" t="s">
        <v>33</v>
      </c>
      <c r="C35" s="13">
        <v>4</v>
      </c>
      <c r="G35" s="15" t="s">
        <v>27</v>
      </c>
      <c r="H35" s="28">
        <v>4</v>
      </c>
      <c r="I35" s="19">
        <v>0.17142857142857143</v>
      </c>
      <c r="L35" s="14" t="s">
        <v>16</v>
      </c>
      <c r="M35" s="9">
        <v>1</v>
      </c>
      <c r="N35" s="24">
        <v>1</v>
      </c>
      <c r="O35" s="24"/>
      <c r="P35" s="24"/>
      <c r="Q35" s="13">
        <v>2</v>
      </c>
    </row>
    <row r="36" spans="2:17" x14ac:dyDescent="0.25">
      <c r="B36" s="15" t="s">
        <v>26</v>
      </c>
      <c r="C36" s="30">
        <v>8</v>
      </c>
      <c r="G36" s="15" t="s">
        <v>18</v>
      </c>
      <c r="H36" s="28">
        <v>2</v>
      </c>
      <c r="I36" s="19">
        <v>0.20952380952380953</v>
      </c>
      <c r="L36" s="15" t="s">
        <v>26</v>
      </c>
      <c r="M36" s="28">
        <v>2</v>
      </c>
      <c r="N36" s="34">
        <v>2</v>
      </c>
      <c r="O36" s="34">
        <v>3</v>
      </c>
      <c r="P36" s="34">
        <v>1</v>
      </c>
      <c r="Q36" s="30">
        <v>8</v>
      </c>
    </row>
    <row r="37" spans="2:17" x14ac:dyDescent="0.25">
      <c r="B37" s="15" t="s">
        <v>16</v>
      </c>
      <c r="C37" s="30">
        <v>2</v>
      </c>
      <c r="G37" s="15" t="s">
        <v>52</v>
      </c>
      <c r="H37" s="28">
        <v>2</v>
      </c>
      <c r="I37" s="19">
        <v>0.14285714285714285</v>
      </c>
      <c r="L37" s="15" t="s">
        <v>33</v>
      </c>
      <c r="M37" s="28">
        <v>2</v>
      </c>
      <c r="N37" s="34">
        <v>2</v>
      </c>
      <c r="O37" s="34"/>
      <c r="P37" s="34"/>
      <c r="Q37" s="30">
        <v>4</v>
      </c>
    </row>
    <row r="38" spans="2:17" x14ac:dyDescent="0.25">
      <c r="B38" s="16" t="s">
        <v>127</v>
      </c>
      <c r="C38" s="31">
        <v>14</v>
      </c>
      <c r="G38" s="15" t="s">
        <v>49</v>
      </c>
      <c r="H38" s="28">
        <v>3</v>
      </c>
      <c r="I38" s="19">
        <v>0.24761904761904763</v>
      </c>
      <c r="L38" s="16" t="s">
        <v>127</v>
      </c>
      <c r="M38" s="29">
        <v>5</v>
      </c>
      <c r="N38" s="32">
        <v>5</v>
      </c>
      <c r="O38" s="32">
        <v>3</v>
      </c>
      <c r="P38" s="32">
        <v>1</v>
      </c>
      <c r="Q38" s="31">
        <v>14</v>
      </c>
    </row>
    <row r="39" spans="2:17" x14ac:dyDescent="0.25">
      <c r="G39" s="15" t="s">
        <v>81</v>
      </c>
      <c r="H39" s="28">
        <v>1</v>
      </c>
      <c r="I39" s="19">
        <v>1.9047619047619049E-2</v>
      </c>
    </row>
    <row r="40" spans="2:17" x14ac:dyDescent="0.25">
      <c r="G40" s="16" t="s">
        <v>127</v>
      </c>
      <c r="H40" s="29">
        <v>14</v>
      </c>
      <c r="I40" s="20">
        <v>1</v>
      </c>
    </row>
    <row r="55" spans="1:21" ht="13.8" thickBot="1" x14ac:dyDescent="0.3"/>
    <row r="56" spans="1:21" ht="13.8" thickBot="1" x14ac:dyDescent="0.3">
      <c r="A56" s="66" t="s">
        <v>144</v>
      </c>
      <c r="B56" s="67"/>
      <c r="C56" s="67"/>
      <c r="D56" s="68"/>
      <c r="G56" s="66" t="s">
        <v>145</v>
      </c>
      <c r="H56" s="67"/>
      <c r="I56" s="67"/>
      <c r="J56" s="68"/>
      <c r="N56" s="66" t="s">
        <v>148</v>
      </c>
      <c r="O56" s="67"/>
      <c r="P56" s="67"/>
      <c r="Q56" s="67"/>
      <c r="R56" s="67"/>
      <c r="S56" s="68"/>
      <c r="T56" s="27"/>
    </row>
    <row r="58" spans="1:21" x14ac:dyDescent="0.25">
      <c r="B58" s="12" t="s">
        <v>128</v>
      </c>
      <c r="C58" s="13" t="s">
        <v>132</v>
      </c>
      <c r="H58" s="12" t="s">
        <v>128</v>
      </c>
      <c r="I58" s="13" t="s">
        <v>132</v>
      </c>
      <c r="L58" s="9" t="s">
        <v>149</v>
      </c>
      <c r="M58" s="24" t="s">
        <v>150</v>
      </c>
      <c r="N58" s="24" t="s">
        <v>151</v>
      </c>
      <c r="O58" s="24" t="s">
        <v>152</v>
      </c>
      <c r="P58" s="24" t="s">
        <v>153</v>
      </c>
      <c r="Q58" s="24" t="s">
        <v>154</v>
      </c>
      <c r="R58" s="24" t="s">
        <v>155</v>
      </c>
      <c r="S58" s="24" t="s">
        <v>156</v>
      </c>
      <c r="T58" s="24" t="s">
        <v>157</v>
      </c>
      <c r="U58" s="17" t="s">
        <v>158</v>
      </c>
    </row>
    <row r="59" spans="1:21" x14ac:dyDescent="0.25">
      <c r="B59" s="14" t="s">
        <v>40</v>
      </c>
      <c r="C59" s="13">
        <v>1</v>
      </c>
      <c r="H59" s="14" t="s">
        <v>134</v>
      </c>
      <c r="I59" s="13">
        <v>6</v>
      </c>
      <c r="L59" s="29">
        <v>4</v>
      </c>
      <c r="M59" s="32">
        <v>5</v>
      </c>
      <c r="N59" s="32">
        <v>5</v>
      </c>
      <c r="O59" s="32">
        <v>3</v>
      </c>
      <c r="P59" s="32">
        <v>1</v>
      </c>
      <c r="Q59" s="32">
        <v>2</v>
      </c>
      <c r="R59" s="32">
        <v>0</v>
      </c>
      <c r="S59" s="32">
        <v>0</v>
      </c>
      <c r="T59" s="32">
        <v>2</v>
      </c>
      <c r="U59" s="33">
        <v>2</v>
      </c>
    </row>
    <row r="60" spans="1:21" x14ac:dyDescent="0.25">
      <c r="B60" s="15" t="s">
        <v>28</v>
      </c>
      <c r="C60" s="30">
        <v>2</v>
      </c>
      <c r="H60" s="15" t="s">
        <v>143</v>
      </c>
      <c r="I60" s="30">
        <v>4</v>
      </c>
    </row>
    <row r="61" spans="1:21" x14ac:dyDescent="0.25">
      <c r="B61" s="15" t="s">
        <v>19</v>
      </c>
      <c r="C61" s="30">
        <v>9</v>
      </c>
      <c r="H61" s="15" t="s">
        <v>146</v>
      </c>
      <c r="I61" s="30">
        <v>4</v>
      </c>
    </row>
    <row r="62" spans="1:21" x14ac:dyDescent="0.25">
      <c r="B62" s="15" t="s">
        <v>53</v>
      </c>
      <c r="C62" s="30">
        <v>2</v>
      </c>
      <c r="H62" s="16" t="s">
        <v>127</v>
      </c>
      <c r="I62" s="31">
        <v>14</v>
      </c>
    </row>
    <row r="63" spans="1:21" x14ac:dyDescent="0.25">
      <c r="B63" s="16" t="s">
        <v>127</v>
      </c>
      <c r="C63" s="31">
        <v>14</v>
      </c>
    </row>
    <row r="79" spans="1:13" ht="13.8" thickBot="1" x14ac:dyDescent="0.3"/>
    <row r="80" spans="1:13" ht="13.8" thickBot="1" x14ac:dyDescent="0.3">
      <c r="A80" s="66" t="s">
        <v>159</v>
      </c>
      <c r="B80" s="67"/>
      <c r="C80" s="67"/>
      <c r="D80" s="68"/>
      <c r="I80" s="66" t="s">
        <v>160</v>
      </c>
      <c r="J80" s="67"/>
      <c r="K80" s="68"/>
      <c r="L80" s="27"/>
      <c r="M80" s="27"/>
    </row>
    <row r="82" spans="2:14" x14ac:dyDescent="0.25">
      <c r="B82" s="12" t="s">
        <v>128</v>
      </c>
      <c r="C82" s="13" t="s">
        <v>132</v>
      </c>
      <c r="G82" s="9" t="s">
        <v>169</v>
      </c>
      <c r="H82" s="24" t="s">
        <v>170</v>
      </c>
      <c r="I82" s="24" t="s">
        <v>171</v>
      </c>
      <c r="J82" s="24" t="s">
        <v>172</v>
      </c>
      <c r="K82" s="24" t="s">
        <v>173</v>
      </c>
      <c r="L82" s="24" t="s">
        <v>174</v>
      </c>
      <c r="M82" s="24" t="s">
        <v>175</v>
      </c>
      <c r="N82" s="17" t="s">
        <v>176</v>
      </c>
    </row>
    <row r="83" spans="2:14" x14ac:dyDescent="0.25">
      <c r="B83" s="14" t="s">
        <v>54</v>
      </c>
      <c r="C83" s="13">
        <v>1</v>
      </c>
      <c r="G83" s="29">
        <v>5</v>
      </c>
      <c r="H83" s="32">
        <v>6</v>
      </c>
      <c r="I83" s="32">
        <v>5</v>
      </c>
      <c r="J83" s="32">
        <v>2</v>
      </c>
      <c r="K83" s="32">
        <v>2</v>
      </c>
      <c r="L83" s="32">
        <v>1</v>
      </c>
      <c r="M83" s="32">
        <v>0</v>
      </c>
      <c r="N83" s="33">
        <v>2</v>
      </c>
    </row>
    <row r="84" spans="2:14" x14ac:dyDescent="0.25">
      <c r="B84" s="15" t="s">
        <v>62</v>
      </c>
      <c r="C84" s="30">
        <v>3</v>
      </c>
    </row>
    <row r="85" spans="2:14" x14ac:dyDescent="0.25">
      <c r="B85" s="15" t="s">
        <v>35</v>
      </c>
      <c r="C85" s="30">
        <v>2</v>
      </c>
    </row>
    <row r="86" spans="2:14" x14ac:dyDescent="0.25">
      <c r="B86" s="15" t="s">
        <v>21</v>
      </c>
      <c r="C86" s="30">
        <v>4</v>
      </c>
    </row>
    <row r="87" spans="2:14" x14ac:dyDescent="0.25">
      <c r="B87" s="15" t="s">
        <v>30</v>
      </c>
      <c r="C87" s="30">
        <v>1</v>
      </c>
    </row>
    <row r="88" spans="2:14" x14ac:dyDescent="0.25">
      <c r="B88" s="15" t="s">
        <v>52</v>
      </c>
      <c r="C88" s="30">
        <v>1</v>
      </c>
    </row>
    <row r="89" spans="2:14" x14ac:dyDescent="0.25">
      <c r="B89" s="15" t="s">
        <v>95</v>
      </c>
      <c r="C89" s="30">
        <v>2</v>
      </c>
    </row>
    <row r="90" spans="2:14" x14ac:dyDescent="0.25">
      <c r="B90" s="16" t="s">
        <v>127</v>
      </c>
      <c r="C90" s="31">
        <v>14</v>
      </c>
    </row>
    <row r="102" spans="2:12" ht="13.8" thickBot="1" x14ac:dyDescent="0.3"/>
    <row r="103" spans="2:12" ht="13.8" thickBot="1" x14ac:dyDescent="0.3">
      <c r="I103" s="66" t="s">
        <v>177</v>
      </c>
      <c r="J103" s="67"/>
      <c r="K103" s="68"/>
    </row>
    <row r="105" spans="2:12" x14ac:dyDescent="0.25">
      <c r="H105" s="12" t="s">
        <v>130</v>
      </c>
      <c r="I105" s="12" t="s">
        <v>126</v>
      </c>
      <c r="J105" s="10"/>
      <c r="K105" s="10"/>
      <c r="L105" s="11"/>
    </row>
    <row r="106" spans="2:12" x14ac:dyDescent="0.25">
      <c r="H106" s="12" t="s">
        <v>128</v>
      </c>
      <c r="I106" s="9" t="s">
        <v>134</v>
      </c>
      <c r="J106" s="24" t="s">
        <v>143</v>
      </c>
      <c r="K106" s="24" t="s">
        <v>146</v>
      </c>
      <c r="L106" s="13" t="s">
        <v>127</v>
      </c>
    </row>
    <row r="107" spans="2:12" ht="13.8" thickBot="1" x14ac:dyDescent="0.3">
      <c r="H107" s="14" t="s">
        <v>178</v>
      </c>
      <c r="I107" s="9">
        <v>1</v>
      </c>
      <c r="J107" s="24"/>
      <c r="K107" s="24">
        <v>2</v>
      </c>
      <c r="L107" s="13">
        <v>3</v>
      </c>
    </row>
    <row r="108" spans="2:12" ht="13.8" thickBot="1" x14ac:dyDescent="0.3">
      <c r="B108" s="66" t="s">
        <v>182</v>
      </c>
      <c r="C108" s="67"/>
      <c r="D108" s="68"/>
      <c r="H108" s="15" t="s">
        <v>179</v>
      </c>
      <c r="I108" s="28">
        <v>5</v>
      </c>
      <c r="J108" s="34">
        <v>4</v>
      </c>
      <c r="K108" s="34">
        <v>2</v>
      </c>
      <c r="L108" s="30">
        <v>11</v>
      </c>
    </row>
    <row r="109" spans="2:12" x14ac:dyDescent="0.25">
      <c r="H109" s="16" t="s">
        <v>127</v>
      </c>
      <c r="I109" s="29">
        <v>6</v>
      </c>
      <c r="J109" s="32">
        <v>4</v>
      </c>
      <c r="K109" s="32">
        <v>4</v>
      </c>
      <c r="L109" s="31">
        <v>14</v>
      </c>
    </row>
    <row r="110" spans="2:12" ht="13.8" thickBot="1" x14ac:dyDescent="0.3">
      <c r="B110" s="36" t="s">
        <v>183</v>
      </c>
      <c r="C110" s="36" t="s">
        <v>184</v>
      </c>
      <c r="D110" s="36" t="s">
        <v>185</v>
      </c>
    </row>
    <row r="111" spans="2:12" ht="13.8" thickBot="1" x14ac:dyDescent="0.3">
      <c r="B111" s="6" t="s">
        <v>186</v>
      </c>
      <c r="C111">
        <f>SUM(Form_Responses3[BP_Comfortable])</f>
        <v>4</v>
      </c>
      <c r="D111">
        <f>AVERAGEIFS(Form_Responses3[Purchase_Likelihood],Form_Responses3[BP_Comfortable],1)</f>
        <v>3.75</v>
      </c>
      <c r="H111" s="35" t="s">
        <v>180</v>
      </c>
    </row>
    <row r="112" spans="2:12" x14ac:dyDescent="0.25">
      <c r="B112" s="6" t="s">
        <v>72</v>
      </c>
      <c r="C112">
        <f>SUM(Form_Responses3[BP_Affordable])</f>
        <v>5</v>
      </c>
      <c r="D112">
        <f>AVERAGEIFS(Form_Responses3[Purchase_Likelihood],Form_Responses3[BP_Affordable],1)</f>
        <v>2.6</v>
      </c>
      <c r="H112" s="69" t="s">
        <v>181</v>
      </c>
      <c r="I112" s="69"/>
      <c r="J112" s="69"/>
      <c r="K112" s="69"/>
    </row>
    <row r="113" spans="2:5" x14ac:dyDescent="0.25">
      <c r="B113" s="6" t="s">
        <v>34</v>
      </c>
      <c r="C113">
        <f>SUM(Form_Responses3[BP_Reliable])</f>
        <v>3</v>
      </c>
      <c r="D113">
        <f>AVERAGEIFS(Form_Responses3[Purchase_Likelihood],Form_Responses3[BP_Reliable],1)</f>
        <v>2.3333333333333335</v>
      </c>
    </row>
    <row r="114" spans="2:5" x14ac:dyDescent="0.25">
      <c r="B114" s="6" t="s">
        <v>66</v>
      </c>
      <c r="C114">
        <f>SUM(Form_Responses3[BP_Good_Quality])</f>
        <v>5</v>
      </c>
      <c r="D114">
        <f>AVERAGEIFS(Form_Responses3[Purchase_Likelihood],Form_Responses3[BP_Good_Quality],1)</f>
        <v>3.4</v>
      </c>
    </row>
    <row r="115" spans="2:5" x14ac:dyDescent="0.25">
      <c r="B115" s="6" t="s">
        <v>187</v>
      </c>
      <c r="C115">
        <f>SUM(Form_Responses3[BP_Stylish])</f>
        <v>1</v>
      </c>
      <c r="D115">
        <f>AVERAGEIFS(Form_Responses3[Purchase_Likelihood],Form_Responses3[BP_Stylish],1)</f>
        <v>4</v>
      </c>
    </row>
    <row r="116" spans="2:5" x14ac:dyDescent="0.25">
      <c r="B116" s="6" t="s">
        <v>188</v>
      </c>
      <c r="C116">
        <f>SUM(Form_Responses3[BP_Trendy])</f>
        <v>0</v>
      </c>
      <c r="D116" t="e">
        <f>AVERAGEIFS(Form_Responses3[Purchase_Likelihood],Form_Responses3[BP_Trendy],1)</f>
        <v>#DIV/0!</v>
      </c>
    </row>
    <row r="117" spans="2:5" x14ac:dyDescent="0.25">
      <c r="B117" s="6" t="s">
        <v>189</v>
      </c>
      <c r="C117">
        <f>SUM(Form_Responses3[BP_Traditional])</f>
        <v>0</v>
      </c>
      <c r="D117" t="e">
        <f>AVERAGEIFS(Form_Responses3[Purchase_Likelihood],Form_Responses3[BP_Traditional],1)</f>
        <v>#DIV/0!</v>
      </c>
    </row>
    <row r="118" spans="2:5" x14ac:dyDescent="0.25">
      <c r="B118" s="6" t="s">
        <v>190</v>
      </c>
      <c r="C118">
        <f>SUM(Form_Responses3[BP_Youth_Friendly])</f>
        <v>2</v>
      </c>
      <c r="D118">
        <f>AVERAGEIFS(Form_Responses3[Purchase_Likelihood],Form_Responses3[BP_Youth_Friendly],1)</f>
        <v>3.5</v>
      </c>
    </row>
    <row r="119" spans="2:5" x14ac:dyDescent="0.25">
      <c r="B119" s="6" t="s">
        <v>191</v>
      </c>
      <c r="C119">
        <f>SUM(Form_Responses3[BP_Easily_Available])</f>
        <v>2</v>
      </c>
      <c r="D119">
        <f>AVERAGEIFS(Form_Responses3[Purchase_Likelihood],Form_Responses3[BP_Easily_Available],1)</f>
        <v>3</v>
      </c>
    </row>
    <row r="121" spans="2:5" ht="13.8" thickBot="1" x14ac:dyDescent="0.3"/>
    <row r="122" spans="2:5" ht="13.8" thickBot="1" x14ac:dyDescent="0.3">
      <c r="B122" s="66" t="s">
        <v>192</v>
      </c>
      <c r="C122" s="67"/>
      <c r="D122" s="67"/>
      <c r="E122" s="68"/>
    </row>
    <row r="124" spans="2:5" x14ac:dyDescent="0.25">
      <c r="B124" s="12" t="s">
        <v>128</v>
      </c>
      <c r="C124" s="9" t="s">
        <v>170</v>
      </c>
      <c r="D124" s="24" t="s">
        <v>169</v>
      </c>
      <c r="E124" s="17" t="s">
        <v>171</v>
      </c>
    </row>
    <row r="125" spans="2:5" x14ac:dyDescent="0.25">
      <c r="B125" s="14" t="s">
        <v>33</v>
      </c>
      <c r="C125" s="9">
        <v>2</v>
      </c>
      <c r="D125" s="24">
        <v>1</v>
      </c>
      <c r="E125" s="17">
        <v>2</v>
      </c>
    </row>
    <row r="126" spans="2:5" x14ac:dyDescent="0.25">
      <c r="B126" s="15" t="s">
        <v>26</v>
      </c>
      <c r="C126" s="28">
        <v>3</v>
      </c>
      <c r="D126" s="34">
        <v>2</v>
      </c>
      <c r="E126" s="37">
        <v>2</v>
      </c>
    </row>
    <row r="127" spans="2:5" x14ac:dyDescent="0.25">
      <c r="B127" s="15" t="s">
        <v>16</v>
      </c>
      <c r="C127" s="28">
        <v>1</v>
      </c>
      <c r="D127" s="34">
        <v>2</v>
      </c>
      <c r="E127" s="37">
        <v>1</v>
      </c>
    </row>
    <row r="128" spans="2:5" x14ac:dyDescent="0.25">
      <c r="B128" s="16" t="s">
        <v>127</v>
      </c>
      <c r="C128" s="29">
        <v>6</v>
      </c>
      <c r="D128" s="32">
        <v>5</v>
      </c>
      <c r="E128" s="33">
        <v>5</v>
      </c>
    </row>
  </sheetData>
  <mergeCells count="18">
    <mergeCell ref="N56:S56"/>
    <mergeCell ref="A80:D80"/>
    <mergeCell ref="I80:K80"/>
    <mergeCell ref="A4:B4"/>
    <mergeCell ref="A5:B5"/>
    <mergeCell ref="L9:O9"/>
    <mergeCell ref="A31:D31"/>
    <mergeCell ref="G31:J31"/>
    <mergeCell ref="G9:J9"/>
    <mergeCell ref="L31:Q31"/>
    <mergeCell ref="A9:E9"/>
    <mergeCell ref="E1:K1"/>
    <mergeCell ref="I103:K103"/>
    <mergeCell ref="H112:K112"/>
    <mergeCell ref="B108:D108"/>
    <mergeCell ref="B122:E122"/>
    <mergeCell ref="A56:D56"/>
    <mergeCell ref="G56:J56"/>
  </mergeCells>
  <pageMargins left="0.7" right="0.7" top="0.75" bottom="0.75" header="0.3" footer="0.3"/>
  <drawing r:id="rId1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3AD45-5685-4E37-AF7D-A007E3E3ADC7}">
  <dimension ref="A1:H30"/>
  <sheetViews>
    <sheetView topLeftCell="A11" workbookViewId="0">
      <selection activeCell="B9" sqref="B9"/>
    </sheetView>
  </sheetViews>
  <sheetFormatPr defaultRowHeight="13.2" x14ac:dyDescent="0.25"/>
  <cols>
    <col min="1" max="1" width="29.6640625" customWidth="1"/>
    <col min="2" max="2" width="34.5546875" customWidth="1"/>
    <col min="3" max="3" width="45.77734375" customWidth="1"/>
  </cols>
  <sheetData>
    <row r="1" spans="1:8" x14ac:dyDescent="0.25">
      <c r="A1" s="71" t="s">
        <v>198</v>
      </c>
      <c r="B1" s="71"/>
      <c r="C1" s="71"/>
      <c r="D1" s="71"/>
      <c r="E1" s="71"/>
      <c r="F1" s="71"/>
      <c r="G1" s="71"/>
      <c r="H1" s="71"/>
    </row>
    <row r="2" spans="1:8" x14ac:dyDescent="0.25">
      <c r="A2" s="72" t="s">
        <v>199</v>
      </c>
      <c r="B2" s="73"/>
      <c r="C2" s="73"/>
      <c r="D2" s="73"/>
      <c r="E2" s="73"/>
      <c r="F2" s="73"/>
      <c r="G2" s="73"/>
      <c r="H2" s="73"/>
    </row>
    <row r="4" spans="1:8" x14ac:dyDescent="0.25">
      <c r="A4" s="71" t="s">
        <v>200</v>
      </c>
      <c r="B4" s="71"/>
      <c r="C4" s="71"/>
      <c r="D4" s="71"/>
      <c r="E4" s="71"/>
      <c r="F4" s="71"/>
      <c r="G4" s="71"/>
      <c r="H4" s="71"/>
    </row>
    <row r="6" spans="1:8" x14ac:dyDescent="0.25">
      <c r="A6" s="44" t="s">
        <v>201</v>
      </c>
      <c r="B6" s="44" t="s">
        <v>202</v>
      </c>
      <c r="C6" s="44" t="s">
        <v>203</v>
      </c>
    </row>
    <row r="7" spans="1:8" ht="26.4" x14ac:dyDescent="0.25">
      <c r="A7" s="47" t="s">
        <v>204</v>
      </c>
      <c r="B7" s="45" t="s">
        <v>205</v>
      </c>
      <c r="C7" s="45" t="s">
        <v>206</v>
      </c>
    </row>
    <row r="8" spans="1:8" ht="26.4" x14ac:dyDescent="0.25">
      <c r="A8" s="47" t="s">
        <v>207</v>
      </c>
      <c r="B8" s="45" t="s">
        <v>208</v>
      </c>
      <c r="C8" s="45" t="s">
        <v>209</v>
      </c>
    </row>
    <row r="9" spans="1:8" ht="39.6" x14ac:dyDescent="0.25">
      <c r="A9" s="47" t="s">
        <v>210</v>
      </c>
      <c r="B9" s="45" t="s">
        <v>211</v>
      </c>
      <c r="C9" s="45" t="s">
        <v>212</v>
      </c>
    </row>
    <row r="10" spans="1:8" ht="26.4" x14ac:dyDescent="0.25">
      <c r="A10" s="47" t="s">
        <v>213</v>
      </c>
      <c r="B10" s="45" t="s">
        <v>214</v>
      </c>
      <c r="C10" s="45" t="s">
        <v>215</v>
      </c>
    </row>
    <row r="11" spans="1:8" ht="39.6" x14ac:dyDescent="0.25">
      <c r="A11" s="47" t="s">
        <v>216</v>
      </c>
      <c r="B11" s="45" t="s">
        <v>217</v>
      </c>
      <c r="C11" s="45" t="s">
        <v>218</v>
      </c>
    </row>
    <row r="12" spans="1:8" ht="39.6" x14ac:dyDescent="0.25">
      <c r="A12" s="47" t="s">
        <v>219</v>
      </c>
      <c r="B12" s="45" t="s">
        <v>220</v>
      </c>
      <c r="C12" s="45" t="s">
        <v>221</v>
      </c>
    </row>
    <row r="13" spans="1:8" ht="52.8" x14ac:dyDescent="0.25">
      <c r="A13" s="47" t="s">
        <v>222</v>
      </c>
      <c r="B13" s="45" t="s">
        <v>223</v>
      </c>
      <c r="C13" s="45" t="s">
        <v>224</v>
      </c>
    </row>
    <row r="15" spans="1:8" x14ac:dyDescent="0.25">
      <c r="A15" s="71" t="s">
        <v>225</v>
      </c>
      <c r="B15" s="71"/>
      <c r="C15" s="71"/>
      <c r="D15" s="71"/>
      <c r="E15" s="71"/>
      <c r="F15" s="71"/>
      <c r="G15" s="71"/>
      <c r="H15" s="71"/>
    </row>
    <row r="16" spans="1:8" x14ac:dyDescent="0.25">
      <c r="A16" s="50" t="s">
        <v>226</v>
      </c>
      <c r="B16" s="70"/>
      <c r="C16" s="70"/>
      <c r="D16" s="70"/>
      <c r="E16" s="70"/>
      <c r="F16" s="70"/>
      <c r="G16" s="70"/>
      <c r="H16" s="70"/>
    </row>
    <row r="17" spans="1:8" x14ac:dyDescent="0.25">
      <c r="A17" s="70"/>
      <c r="B17" s="70"/>
      <c r="C17" s="70"/>
      <c r="D17" s="70"/>
      <c r="E17" s="70"/>
      <c r="F17" s="70"/>
      <c r="G17" s="70"/>
      <c r="H17" s="70"/>
    </row>
    <row r="18" spans="1:8" x14ac:dyDescent="0.25">
      <c r="A18" s="70"/>
      <c r="B18" s="70"/>
      <c r="C18" s="70"/>
      <c r="D18" s="70"/>
      <c r="E18" s="70"/>
      <c r="F18" s="70"/>
      <c r="G18" s="70"/>
      <c r="H18" s="70"/>
    </row>
    <row r="19" spans="1:8" x14ac:dyDescent="0.25">
      <c r="A19" s="70"/>
      <c r="B19" s="70"/>
      <c r="C19" s="70"/>
      <c r="D19" s="70"/>
      <c r="E19" s="70"/>
      <c r="F19" s="70"/>
      <c r="G19" s="70"/>
      <c r="H19" s="70"/>
    </row>
    <row r="21" spans="1:8" x14ac:dyDescent="0.25">
      <c r="A21" s="64" t="s">
        <v>227</v>
      </c>
      <c r="B21" s="64"/>
      <c r="C21" s="64"/>
      <c r="D21" s="64"/>
      <c r="E21" s="64"/>
      <c r="F21" s="64"/>
      <c r="G21" s="64"/>
      <c r="H21" s="64"/>
    </row>
    <row r="22" spans="1:8" x14ac:dyDescent="0.25">
      <c r="A22" s="50" t="s">
        <v>228</v>
      </c>
      <c r="B22" s="70"/>
      <c r="C22" s="70"/>
      <c r="D22" s="70"/>
      <c r="E22" s="70"/>
      <c r="F22" s="70"/>
      <c r="G22" s="70"/>
      <c r="H22" s="70"/>
    </row>
    <row r="23" spans="1:8" x14ac:dyDescent="0.25">
      <c r="A23" s="70"/>
      <c r="B23" s="70"/>
      <c r="C23" s="70"/>
      <c r="D23" s="70"/>
      <c r="E23" s="70"/>
      <c r="F23" s="70"/>
      <c r="G23" s="70"/>
      <c r="H23" s="70"/>
    </row>
    <row r="24" spans="1:8" x14ac:dyDescent="0.25">
      <c r="A24" s="70"/>
      <c r="B24" s="70"/>
      <c r="C24" s="70"/>
      <c r="D24" s="70"/>
      <c r="E24" s="70"/>
      <c r="F24" s="70"/>
      <c r="G24" s="70"/>
      <c r="H24" s="70"/>
    </row>
    <row r="26" spans="1:8" x14ac:dyDescent="0.25">
      <c r="A26" s="71" t="s">
        <v>229</v>
      </c>
      <c r="B26" s="71"/>
      <c r="C26" s="71"/>
      <c r="D26" s="71"/>
      <c r="E26" s="71"/>
      <c r="F26" s="71"/>
      <c r="G26" s="71"/>
      <c r="H26" s="71"/>
    </row>
    <row r="27" spans="1:8" x14ac:dyDescent="0.25">
      <c r="A27" s="50" t="s">
        <v>230</v>
      </c>
      <c r="B27" s="70"/>
      <c r="C27" s="70"/>
      <c r="D27" s="70"/>
      <c r="E27" s="70"/>
      <c r="F27" s="70"/>
      <c r="G27" s="70"/>
      <c r="H27" s="70"/>
    </row>
    <row r="28" spans="1:8" x14ac:dyDescent="0.25">
      <c r="A28" s="70"/>
      <c r="B28" s="70"/>
      <c r="C28" s="70"/>
      <c r="D28" s="70"/>
      <c r="E28" s="70"/>
      <c r="F28" s="70"/>
      <c r="G28" s="70"/>
      <c r="H28" s="70"/>
    </row>
    <row r="29" spans="1:8" x14ac:dyDescent="0.25">
      <c r="A29" s="70"/>
      <c r="B29" s="70"/>
      <c r="C29" s="70"/>
      <c r="D29" s="70"/>
      <c r="E29" s="70"/>
      <c r="F29" s="70"/>
      <c r="G29" s="70"/>
      <c r="H29" s="70"/>
    </row>
    <row r="30" spans="1:8" x14ac:dyDescent="0.25">
      <c r="A30" s="70"/>
      <c r="B30" s="70"/>
      <c r="C30" s="70"/>
      <c r="D30" s="70"/>
      <c r="E30" s="70"/>
      <c r="F30" s="70"/>
      <c r="G30" s="70"/>
      <c r="H30" s="70"/>
    </row>
  </sheetData>
  <mergeCells count="9">
    <mergeCell ref="A21:H21"/>
    <mergeCell ref="A22:H24"/>
    <mergeCell ref="A26:H26"/>
    <mergeCell ref="A27:H30"/>
    <mergeCell ref="A1:H1"/>
    <mergeCell ref="A2:H2"/>
    <mergeCell ref="A4:H4"/>
    <mergeCell ref="A15:H15"/>
    <mergeCell ref="A16:H1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204B0-EE58-4363-AEF7-4C428349E9F8}">
  <dimension ref="A1:E16"/>
  <sheetViews>
    <sheetView workbookViewId="0">
      <selection activeCell="C22" sqref="C22"/>
    </sheetView>
  </sheetViews>
  <sheetFormatPr defaultRowHeight="13.2" x14ac:dyDescent="0.25"/>
  <cols>
    <col min="1" max="1" width="18.109375" customWidth="1"/>
    <col min="2" max="2" width="24.109375" customWidth="1"/>
    <col min="3" max="3" width="29.6640625" customWidth="1"/>
    <col min="4" max="4" width="10.109375" customWidth="1"/>
  </cols>
  <sheetData>
    <row r="1" spans="1:5" ht="26.4" x14ac:dyDescent="0.25">
      <c r="A1" s="47" t="s">
        <v>231</v>
      </c>
      <c r="B1" s="47" t="s">
        <v>232</v>
      </c>
      <c r="C1" s="47" t="s">
        <v>233</v>
      </c>
      <c r="D1" s="47" t="s">
        <v>234</v>
      </c>
    </row>
    <row r="2" spans="1:5" ht="52.8" x14ac:dyDescent="0.25">
      <c r="A2" s="41" t="s">
        <v>235</v>
      </c>
      <c r="B2" s="38" t="s">
        <v>236</v>
      </c>
      <c r="C2" s="46" t="s">
        <v>237</v>
      </c>
    </row>
    <row r="3" spans="1:5" ht="79.2" x14ac:dyDescent="0.25">
      <c r="A3" s="41" t="s">
        <v>238</v>
      </c>
      <c r="B3" s="38" t="s">
        <v>239</v>
      </c>
      <c r="C3" s="46" t="s">
        <v>240</v>
      </c>
    </row>
    <row r="4" spans="1:5" ht="66" x14ac:dyDescent="0.25">
      <c r="A4" s="41" t="s">
        <v>241</v>
      </c>
      <c r="B4" s="38" t="s">
        <v>242</v>
      </c>
      <c r="C4" s="46" t="s">
        <v>243</v>
      </c>
    </row>
    <row r="5" spans="1:5" ht="52.8" x14ac:dyDescent="0.25">
      <c r="A5" s="41" t="s">
        <v>244</v>
      </c>
      <c r="B5" s="38" t="s">
        <v>245</v>
      </c>
      <c r="C5" s="46" t="s">
        <v>246</v>
      </c>
    </row>
    <row r="6" spans="1:5" ht="66" x14ac:dyDescent="0.25">
      <c r="A6" s="41" t="s">
        <v>247</v>
      </c>
      <c r="B6" s="38" t="s">
        <v>248</v>
      </c>
      <c r="C6" s="46" t="s">
        <v>249</v>
      </c>
    </row>
    <row r="7" spans="1:5" ht="79.2" x14ac:dyDescent="0.25">
      <c r="A7" s="41" t="s">
        <v>250</v>
      </c>
      <c r="B7" s="38" t="s">
        <v>251</v>
      </c>
      <c r="C7" s="46" t="s">
        <v>252</v>
      </c>
    </row>
    <row r="8" spans="1:5" ht="52.8" x14ac:dyDescent="0.25">
      <c r="A8" s="41" t="s">
        <v>253</v>
      </c>
      <c r="B8" s="38" t="s">
        <v>254</v>
      </c>
      <c r="C8" s="46" t="s">
        <v>255</v>
      </c>
    </row>
    <row r="11" spans="1:5" x14ac:dyDescent="0.25">
      <c r="A11" s="74" t="s">
        <v>256</v>
      </c>
      <c r="B11" s="74"/>
    </row>
    <row r="12" spans="1:5" x14ac:dyDescent="0.25">
      <c r="A12" s="50" t="s">
        <v>257</v>
      </c>
      <c r="B12" s="70"/>
      <c r="C12" s="70"/>
      <c r="D12" s="70"/>
      <c r="E12" s="70"/>
    </row>
    <row r="13" spans="1:5" x14ac:dyDescent="0.25">
      <c r="A13" s="70"/>
      <c r="B13" s="70"/>
      <c r="C13" s="70"/>
      <c r="D13" s="70"/>
      <c r="E13" s="70"/>
    </row>
    <row r="14" spans="1:5" x14ac:dyDescent="0.25">
      <c r="A14" s="70"/>
      <c r="B14" s="70"/>
      <c r="C14" s="70"/>
      <c r="D14" s="70"/>
      <c r="E14" s="70"/>
    </row>
    <row r="15" spans="1:5" x14ac:dyDescent="0.25">
      <c r="A15" s="70"/>
      <c r="B15" s="70"/>
      <c r="C15" s="70"/>
      <c r="D15" s="70"/>
      <c r="E15" s="70"/>
    </row>
    <row r="16" spans="1:5" x14ac:dyDescent="0.25">
      <c r="A16" s="70"/>
      <c r="B16" s="70"/>
      <c r="C16" s="70"/>
      <c r="D16" s="70"/>
      <c r="E16" s="70"/>
    </row>
  </sheetData>
  <mergeCells count="2">
    <mergeCell ref="A11:B11"/>
    <mergeCell ref="A12:E16"/>
  </mergeCells>
  <hyperlinks>
    <hyperlink ref="C8" r:id="rId1" tooltip="Bata India Limited - Annual Report 2026 | FinancialFilings" display="https://financialfilings.com/filings/bata-india-limited/annual-report/2026/49363790/" xr:uid="{61753AF6-1827-4152-98AA-88A5F047EFBA}"/>
    <hyperlink ref="C7" r:id="rId2" tooltip="Bata India Limited - Annual Report 2026 | FinancialFilings" display="https://financialfilings.com/filings/bata-india-limited/annual-report/2026/49363790/" xr:uid="{5087D104-01A0-4FCA-AD56-4485B4069FBF}"/>
    <hyperlink ref="C6" r:id="rId3" tooltip="Bata India Limited - Annual Report 2026 | FinancialFilings" display="https://financialfilings.com/filings/bata-india-limited/annual-report/2026/49363790/" xr:uid="{369A1328-E7B6-4C5C-933E-B53A4FD5D03C}"/>
    <hyperlink ref="C5" r:id="rId4" tooltip="Bata India Limited - Annual Report 2026 | FinancialFilings" display="https://financialfilings.com/filings/bata-india-limited/annual-report/2026/49363790/" xr:uid="{130BF04F-6A5C-4C9E-A74F-205B3483C7A1}"/>
    <hyperlink ref="C4" r:id="rId5" tooltip="Bata -men shoes sneakers" display="https://www.bata.com/in/men/shoes/sneakers/north-star%2Bpower/?utm_source=chatgpt.com" xr:uid="{B8FB7396-77B3-427B-81FD-9C183108C0A7}"/>
    <hyperlink ref="C3" r:id="rId6" tooltip="Bata India Limited - Annual Report 2026 | FinancialFilings" display="https://financialfilings.com/filings/bata-india-limited/annual-report/2026/49363790/" xr:uid="{3B491364-6AF1-4815-8A4B-237E035BEAA4}"/>
    <hyperlink ref="C2" r:id="rId7" tooltip="Bata India Limited - Annual Report 2026 | FinancialFilings" display="https://financialfilings.com/filings/bata-india-limited/annual-report/2026/49363790/" xr:uid="{BAE54B3C-690C-4498-B602-46938896B48B}"/>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EC9B2-74C3-4CFE-966C-90031CBBBB26}">
  <dimension ref="A1:E19"/>
  <sheetViews>
    <sheetView workbookViewId="0">
      <selection activeCell="G4" sqref="G4"/>
    </sheetView>
  </sheetViews>
  <sheetFormatPr defaultRowHeight="13.2" x14ac:dyDescent="0.25"/>
  <cols>
    <col min="1" max="1" width="19.5546875" customWidth="1"/>
    <col min="2" max="2" width="24.21875" customWidth="1"/>
    <col min="3" max="3" width="22.88671875" customWidth="1"/>
    <col min="4" max="4" width="22.109375" customWidth="1"/>
    <col min="5" max="5" width="21.33203125" customWidth="1"/>
  </cols>
  <sheetData>
    <row r="1" spans="1:5" x14ac:dyDescent="0.25">
      <c r="A1" s="47" t="s">
        <v>258</v>
      </c>
      <c r="B1" s="47" t="s">
        <v>259</v>
      </c>
      <c r="C1" s="47" t="s">
        <v>260</v>
      </c>
      <c r="D1" s="47" t="s">
        <v>27</v>
      </c>
      <c r="E1" s="47" t="s">
        <v>18</v>
      </c>
    </row>
    <row r="2" spans="1:5" ht="66" x14ac:dyDescent="0.25">
      <c r="A2" s="47" t="s">
        <v>261</v>
      </c>
      <c r="B2" s="45" t="s">
        <v>262</v>
      </c>
      <c r="C2" s="45" t="s">
        <v>263</v>
      </c>
      <c r="D2" s="45" t="s">
        <v>264</v>
      </c>
      <c r="E2" s="45" t="s">
        <v>265</v>
      </c>
    </row>
    <row r="3" spans="1:5" ht="66" x14ac:dyDescent="0.25">
      <c r="A3" s="47" t="s">
        <v>266</v>
      </c>
      <c r="B3" s="49" t="s">
        <v>267</v>
      </c>
      <c r="C3" s="49" t="s">
        <v>268</v>
      </c>
      <c r="D3" s="49" t="s">
        <v>269</v>
      </c>
      <c r="E3" s="49" t="s">
        <v>270</v>
      </c>
    </row>
    <row r="4" spans="1:5" ht="52.8" x14ac:dyDescent="0.25">
      <c r="A4" s="47" t="s">
        <v>271</v>
      </c>
      <c r="B4" s="45" t="s">
        <v>272</v>
      </c>
      <c r="C4" s="45" t="s">
        <v>273</v>
      </c>
      <c r="D4" s="45" t="s">
        <v>274</v>
      </c>
      <c r="E4" s="45" t="s">
        <v>275</v>
      </c>
    </row>
    <row r="5" spans="1:5" ht="66" x14ac:dyDescent="0.25">
      <c r="A5" s="47" t="s">
        <v>276</v>
      </c>
      <c r="B5" s="45" t="s">
        <v>277</v>
      </c>
      <c r="C5" s="45" t="s">
        <v>278</v>
      </c>
      <c r="D5" s="45" t="s">
        <v>279</v>
      </c>
      <c r="E5" s="49" t="s">
        <v>280</v>
      </c>
    </row>
    <row r="6" spans="1:5" ht="79.2" x14ac:dyDescent="0.25">
      <c r="A6" s="47" t="s">
        <v>281</v>
      </c>
      <c r="B6" s="45" t="s">
        <v>282</v>
      </c>
      <c r="C6" s="49" t="s">
        <v>283</v>
      </c>
      <c r="D6" s="49" t="s">
        <v>284</v>
      </c>
      <c r="E6" s="49" t="s">
        <v>285</v>
      </c>
    </row>
    <row r="7" spans="1:5" ht="79.2" x14ac:dyDescent="0.25">
      <c r="A7" s="47" t="s">
        <v>286</v>
      </c>
      <c r="B7" s="49" t="s">
        <v>287</v>
      </c>
      <c r="C7" s="49" t="s">
        <v>288</v>
      </c>
      <c r="D7" s="49" t="s">
        <v>289</v>
      </c>
      <c r="E7" s="49" t="s">
        <v>290</v>
      </c>
    </row>
    <row r="9" spans="1:5" x14ac:dyDescent="0.25">
      <c r="A9" s="75" t="s">
        <v>291</v>
      </c>
      <c r="B9" s="75"/>
    </row>
    <row r="10" spans="1:5" x14ac:dyDescent="0.25">
      <c r="A10" s="50" t="s">
        <v>292</v>
      </c>
      <c r="B10" s="70"/>
      <c r="C10" s="70"/>
      <c r="D10" s="70"/>
      <c r="E10" s="70"/>
    </row>
    <row r="11" spans="1:5" x14ac:dyDescent="0.25">
      <c r="A11" s="70"/>
      <c r="B11" s="70"/>
      <c r="C11" s="70"/>
      <c r="D11" s="70"/>
      <c r="E11" s="70"/>
    </row>
    <row r="12" spans="1:5" x14ac:dyDescent="0.25">
      <c r="A12" s="70"/>
      <c r="B12" s="70"/>
      <c r="C12" s="70"/>
      <c r="D12" s="70"/>
      <c r="E12" s="70"/>
    </row>
    <row r="13" spans="1:5" x14ac:dyDescent="0.25">
      <c r="A13" s="70"/>
      <c r="B13" s="70"/>
      <c r="C13" s="70"/>
      <c r="D13" s="70"/>
      <c r="E13" s="70"/>
    </row>
    <row r="14" spans="1:5" x14ac:dyDescent="0.25">
      <c r="A14" s="70"/>
      <c r="B14" s="70"/>
      <c r="C14" s="70"/>
      <c r="D14" s="70"/>
      <c r="E14" s="70"/>
    </row>
    <row r="16" spans="1:5" x14ac:dyDescent="0.25">
      <c r="A16" s="76" t="s">
        <v>293</v>
      </c>
      <c r="B16" s="77"/>
    </row>
    <row r="17" spans="1:5" x14ac:dyDescent="0.25">
      <c r="A17" s="50" t="s">
        <v>294</v>
      </c>
      <c r="B17" s="70"/>
      <c r="C17" s="70"/>
      <c r="D17" s="70"/>
      <c r="E17" s="70"/>
    </row>
    <row r="18" spans="1:5" x14ac:dyDescent="0.25">
      <c r="A18" s="70"/>
      <c r="B18" s="70"/>
      <c r="C18" s="70"/>
      <c r="D18" s="70"/>
      <c r="E18" s="70"/>
    </row>
    <row r="19" spans="1:5" x14ac:dyDescent="0.25">
      <c r="A19" s="70"/>
      <c r="B19" s="70"/>
      <c r="C19" s="70"/>
      <c r="D19" s="70"/>
      <c r="E19" s="70"/>
    </row>
  </sheetData>
  <mergeCells count="4">
    <mergeCell ref="A9:B9"/>
    <mergeCell ref="A10:E14"/>
    <mergeCell ref="A16:B16"/>
    <mergeCell ref="A17:E19"/>
  </mergeCells>
  <hyperlinks>
    <hyperlink ref="B3" r:id="rId1" tooltip="Bata -men shoes sneakers" display="https://www.bata.com/in/men/shoes/sneakers/north-star%2Bpower/?utm_source=chatgpt.com" xr:uid="{E02CDC31-658C-4D73-A2B0-80DE30E60436}"/>
    <hyperlink ref="C3" r:id="rId2" tooltip="Buy Stylish Sneakers for Men Online In India – Campus Shoes" display="https://www.campusshoes.com/collections/mens-sneakers?utm_source=chatgpt.com" xr:uid="{892025A7-EDF9-4002-A3FE-61B47C13B65C}"/>
    <hyperlink ref="D3" r:id="rId3" tooltip="RedTape Casual Shoes for Men | Trendy &amp; Comfortable" display="https://redtape.com/collections/men-casual-shoes?limit=25&amp;page=1&amp;utm_source=chatgpt.com" xr:uid="{C3D10FA4-6FE1-4584-A0DE-2E57811D3DF0}"/>
    <hyperlink ref="E3" r:id="rId4" tooltip="Sneakers Store - Discover the Complete Range of PUMA Sneakers | PUMA India" display="https://in.puma.com/in/en/sneakers/shop-all-sneakers?utm_source=chatgpt.com" xr:uid="{225D71A9-7C0D-404E-8700-4541A46FFDB8}"/>
    <hyperlink ref="E5" r:id="rId5" tooltip="Sneakers Store - Discover the Complete Range of PUMA Sneakers | PUMA India" display="https://in.puma.com/in/en/sneakers/shop-all-sneakers?utm_source=chatgpt.com" xr:uid="{C0454280-9479-4A92-BB12-584A27ABC17E}"/>
    <hyperlink ref="C6" r:id="rId6" tooltip="Buy Stylish Sneakers for Men Online In India – Campus Shoes" display="https://www.campusshoes.com/collections/mens-sneakers?utm_source=chatgpt.com" xr:uid="{C265F934-81DD-4B46-9730-9A5D7E131E98}"/>
    <hyperlink ref="D6" r:id="rId7" tooltip="RedTape Men’s Footwear | Formal, Casual &amp; Sports Shoes" display="https://redtape.com/collections/footwear-men?utm_source=chatgpt.com" xr:uid="{B9C87B1F-26F2-4193-BF29-F507E1E9C10B}"/>
    <hyperlink ref="E6" r:id="rId8" tooltip="Sneakers | PUMA India" display="https://in.puma.com/in/en/sneakers?utm_source=chatgpt.com" xr:uid="{AAAF8DE0-8A09-4E4C-9072-12B5B4CD96D0}"/>
    <hyperlink ref="B7" r:id="rId9" tooltip="Bata -men shoes sneakers" display="https://www.bata.com/in/men/shoes/sneakers/north-star%2Bpower/?utm_source=chatgpt.com" xr:uid="{28E3D629-191F-4F8C-A457-0E3B14D26266}"/>
    <hyperlink ref="C7" r:id="rId10" tooltip="Buy Stylish Sneakers for Men Online In India – Campus Shoes" display="https://www.campusshoes.com/collections/mens-sneakers?utm_source=chatgpt.com" xr:uid="{A0FA1696-957E-4E59-9FA8-18F2DB922908}"/>
    <hyperlink ref="D7" r:id="rId11" tooltip="RedTape Men’s Footwear | Formal, Casual &amp; Sports Shoes" display="https://redtape.com/collections/footwear-men?utm_source=chatgpt.com" xr:uid="{AE20A61F-4D77-4139-92D1-99DE71A3427E}"/>
    <hyperlink ref="E7" r:id="rId12" tooltip="PUMA.COM | Forever Faster | PUMA India" display="https://in.puma.com/in/en?utm_source=chatgpt.com" xr:uid="{8647D82F-3D1C-4016-896D-A3FACF2856E3}"/>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4A5C8-322F-40FC-A9E2-80F2F2C15994}">
  <dimension ref="A1:J26"/>
  <sheetViews>
    <sheetView topLeftCell="A10" zoomScale="54" workbookViewId="0">
      <selection activeCell="K1" sqref="K1:N1"/>
    </sheetView>
  </sheetViews>
  <sheetFormatPr defaultRowHeight="13.2" x14ac:dyDescent="0.25"/>
  <cols>
    <col min="1" max="1" width="20.109375" customWidth="1"/>
    <col min="2" max="2" width="33.77734375" customWidth="1"/>
    <col min="3" max="3" width="44.5546875" customWidth="1"/>
    <col min="4" max="4" width="40.88671875" customWidth="1"/>
    <col min="7" max="7" width="22" customWidth="1"/>
    <col min="8" max="8" width="33.6640625" customWidth="1"/>
    <col min="9" max="9" width="43.88671875" customWidth="1"/>
    <col min="10" max="10" width="40" customWidth="1"/>
  </cols>
  <sheetData>
    <row r="1" spans="1:10" x14ac:dyDescent="0.25">
      <c r="A1" s="64" t="s">
        <v>295</v>
      </c>
      <c r="B1" s="64"/>
      <c r="C1" s="64"/>
      <c r="D1" s="64"/>
      <c r="E1" s="64"/>
      <c r="F1" s="64"/>
      <c r="G1" s="64"/>
      <c r="H1" s="64"/>
    </row>
    <row r="2" spans="1:10" x14ac:dyDescent="0.25">
      <c r="A2" s="79" t="s">
        <v>296</v>
      </c>
      <c r="B2" s="80"/>
      <c r="C2" s="80"/>
      <c r="D2" s="80"/>
      <c r="E2" s="80"/>
      <c r="F2" s="80"/>
      <c r="G2" s="80"/>
      <c r="H2" s="80"/>
    </row>
    <row r="3" spans="1:10" ht="13.8" thickBot="1" x14ac:dyDescent="0.3"/>
    <row r="4" spans="1:10" ht="13.8" thickBot="1" x14ac:dyDescent="0.3">
      <c r="B4" s="66" t="s">
        <v>321</v>
      </c>
      <c r="C4" s="68"/>
      <c r="H4" s="81" t="s">
        <v>350</v>
      </c>
      <c r="I4" s="82"/>
    </row>
    <row r="5" spans="1:10" ht="26.4" customHeight="1" x14ac:dyDescent="0.25">
      <c r="A5" s="47" t="s">
        <v>297</v>
      </c>
      <c r="B5" s="48" t="s">
        <v>298</v>
      </c>
      <c r="C5" s="48" t="s">
        <v>309</v>
      </c>
      <c r="D5" s="47" t="s">
        <v>310</v>
      </c>
      <c r="G5" s="47" t="s">
        <v>322</v>
      </c>
      <c r="H5" s="48" t="s">
        <v>323</v>
      </c>
      <c r="I5" s="48" t="s">
        <v>324</v>
      </c>
      <c r="J5" s="47" t="s">
        <v>325</v>
      </c>
    </row>
    <row r="6" spans="1:10" ht="132" customHeight="1" x14ac:dyDescent="0.25">
      <c r="A6" s="45" t="s">
        <v>299</v>
      </c>
      <c r="B6" s="45" t="s">
        <v>300</v>
      </c>
      <c r="C6" s="45" t="s">
        <v>311</v>
      </c>
      <c r="D6" s="45" t="s">
        <v>312</v>
      </c>
      <c r="G6" s="47" t="s">
        <v>326</v>
      </c>
      <c r="H6" s="45" t="s">
        <v>327</v>
      </c>
      <c r="I6" s="45" t="s">
        <v>328</v>
      </c>
      <c r="J6" s="45" t="s">
        <v>329</v>
      </c>
    </row>
    <row r="7" spans="1:10" ht="92.4" customHeight="1" x14ac:dyDescent="0.25">
      <c r="A7" s="45" t="s">
        <v>301</v>
      </c>
      <c r="B7" s="45" t="s">
        <v>302</v>
      </c>
      <c r="C7" s="45" t="s">
        <v>313</v>
      </c>
      <c r="D7" s="45" t="s">
        <v>314</v>
      </c>
      <c r="G7" s="47" t="s">
        <v>330</v>
      </c>
      <c r="H7" s="45" t="s">
        <v>331</v>
      </c>
      <c r="I7" s="45" t="s">
        <v>332</v>
      </c>
      <c r="J7" s="45" t="s">
        <v>333</v>
      </c>
    </row>
    <row r="8" spans="1:10" ht="132" customHeight="1" x14ac:dyDescent="0.25">
      <c r="A8" s="45" t="s">
        <v>303</v>
      </c>
      <c r="B8" s="45" t="s">
        <v>304</v>
      </c>
      <c r="C8" s="45" t="s">
        <v>315</v>
      </c>
      <c r="D8" s="45" t="s">
        <v>316</v>
      </c>
      <c r="G8" s="47" t="s">
        <v>334</v>
      </c>
      <c r="H8" s="45" t="s">
        <v>335</v>
      </c>
      <c r="I8" s="45" t="s">
        <v>336</v>
      </c>
      <c r="J8" s="45" t="s">
        <v>337</v>
      </c>
    </row>
    <row r="9" spans="1:10" ht="158.4" customHeight="1" x14ac:dyDescent="0.25">
      <c r="A9" s="45" t="s">
        <v>305</v>
      </c>
      <c r="B9" s="45" t="s">
        <v>306</v>
      </c>
      <c r="C9" s="45" t="s">
        <v>317</v>
      </c>
      <c r="D9" s="45" t="s">
        <v>318</v>
      </c>
      <c r="G9" s="47" t="s">
        <v>338</v>
      </c>
      <c r="H9" s="45" t="s">
        <v>339</v>
      </c>
      <c r="I9" s="45" t="s">
        <v>340</v>
      </c>
      <c r="J9" s="45" t="s">
        <v>341</v>
      </c>
    </row>
    <row r="10" spans="1:10" ht="145.19999999999999" customHeight="1" x14ac:dyDescent="0.25">
      <c r="A10" s="45" t="s">
        <v>307</v>
      </c>
      <c r="B10" s="45" t="s">
        <v>308</v>
      </c>
      <c r="C10" s="45" t="s">
        <v>319</v>
      </c>
      <c r="D10" s="45" t="s">
        <v>320</v>
      </c>
      <c r="G10" s="47" t="s">
        <v>342</v>
      </c>
      <c r="H10" s="45" t="s">
        <v>343</v>
      </c>
      <c r="I10" s="45" t="s">
        <v>344</v>
      </c>
      <c r="J10" s="45" t="s">
        <v>345</v>
      </c>
    </row>
    <row r="11" spans="1:10" ht="40.200000000000003" thickBot="1" x14ac:dyDescent="0.3">
      <c r="G11" s="47" t="s">
        <v>346</v>
      </c>
      <c r="H11" s="45" t="s">
        <v>347</v>
      </c>
      <c r="I11" s="45" t="s">
        <v>348</v>
      </c>
      <c r="J11" s="45" t="s">
        <v>349</v>
      </c>
    </row>
    <row r="12" spans="1:10" ht="13.8" thickBot="1" x14ac:dyDescent="0.3">
      <c r="B12" s="83" t="s">
        <v>351</v>
      </c>
      <c r="C12" s="84"/>
    </row>
    <row r="13" spans="1:10" ht="13.8" thickBot="1" x14ac:dyDescent="0.3">
      <c r="B13" s="48" t="s">
        <v>352</v>
      </c>
      <c r="C13" s="48" t="s">
        <v>353</v>
      </c>
    </row>
    <row r="14" spans="1:10" ht="26.4" x14ac:dyDescent="0.25">
      <c r="B14" s="45" t="s">
        <v>354</v>
      </c>
      <c r="C14" s="45" t="s">
        <v>355</v>
      </c>
      <c r="G14" s="85" t="s">
        <v>366</v>
      </c>
      <c r="H14" s="86"/>
    </row>
    <row r="15" spans="1:10" ht="26.4" x14ac:dyDescent="0.25">
      <c r="B15" s="45" t="s">
        <v>356</v>
      </c>
      <c r="C15" s="45" t="s">
        <v>357</v>
      </c>
      <c r="G15" s="50" t="s">
        <v>367</v>
      </c>
      <c r="H15" s="70"/>
      <c r="I15" s="70"/>
      <c r="J15" s="70"/>
    </row>
    <row r="16" spans="1:10" ht="26.4" x14ac:dyDescent="0.25">
      <c r="B16" s="45" t="s">
        <v>358</v>
      </c>
      <c r="C16" s="45" t="s">
        <v>359</v>
      </c>
      <c r="G16" s="70"/>
      <c r="H16" s="70"/>
      <c r="I16" s="70"/>
      <c r="J16" s="70"/>
    </row>
    <row r="17" spans="1:10" x14ac:dyDescent="0.25">
      <c r="B17" s="45" t="s">
        <v>360</v>
      </c>
      <c r="C17" s="45" t="s">
        <v>361</v>
      </c>
      <c r="G17" s="70"/>
      <c r="H17" s="70"/>
      <c r="I17" s="70"/>
      <c r="J17" s="70"/>
    </row>
    <row r="18" spans="1:10" ht="26.4" x14ac:dyDescent="0.25">
      <c r="B18" s="45" t="s">
        <v>362</v>
      </c>
      <c r="C18" s="45" t="s">
        <v>363</v>
      </c>
      <c r="G18" s="70"/>
      <c r="H18" s="70"/>
      <c r="I18" s="70"/>
      <c r="J18" s="70"/>
    </row>
    <row r="19" spans="1:10" ht="26.4" x14ac:dyDescent="0.25">
      <c r="B19" s="45" t="s">
        <v>364</v>
      </c>
      <c r="C19" s="45" t="s">
        <v>365</v>
      </c>
      <c r="G19" s="70"/>
      <c r="H19" s="70"/>
      <c r="I19" s="70"/>
      <c r="J19" s="70"/>
    </row>
    <row r="21" spans="1:10" x14ac:dyDescent="0.25">
      <c r="A21" s="78" t="s">
        <v>368</v>
      </c>
      <c r="B21" s="78"/>
      <c r="G21" s="75" t="s">
        <v>370</v>
      </c>
      <c r="H21" s="75"/>
    </row>
    <row r="22" spans="1:10" x14ac:dyDescent="0.25">
      <c r="A22" s="50" t="s">
        <v>369</v>
      </c>
      <c r="B22" s="70"/>
      <c r="C22" s="70"/>
      <c r="D22" s="70"/>
      <c r="G22" s="50" t="s">
        <v>371</v>
      </c>
      <c r="H22" s="70"/>
      <c r="I22" s="70"/>
      <c r="J22" s="70"/>
    </row>
    <row r="23" spans="1:10" x14ac:dyDescent="0.25">
      <c r="A23" s="70"/>
      <c r="B23" s="70"/>
      <c r="C23" s="70"/>
      <c r="D23" s="70"/>
      <c r="G23" s="70"/>
      <c r="H23" s="70"/>
      <c r="I23" s="70"/>
      <c r="J23" s="70"/>
    </row>
    <row r="24" spans="1:10" x14ac:dyDescent="0.25">
      <c r="A24" s="70"/>
      <c r="B24" s="70"/>
      <c r="C24" s="70"/>
      <c r="D24" s="70"/>
      <c r="G24" s="70"/>
      <c r="H24" s="70"/>
      <c r="I24" s="70"/>
      <c r="J24" s="70"/>
    </row>
    <row r="25" spans="1:10" x14ac:dyDescent="0.25">
      <c r="A25" s="70"/>
      <c r="B25" s="70"/>
      <c r="C25" s="70"/>
      <c r="D25" s="70"/>
    </row>
    <row r="26" spans="1:10" x14ac:dyDescent="0.25">
      <c r="A26" s="70"/>
      <c r="B26" s="70"/>
      <c r="C26" s="70"/>
      <c r="D26" s="70"/>
    </row>
  </sheetData>
  <mergeCells count="11">
    <mergeCell ref="G14:H14"/>
    <mergeCell ref="A1:H1"/>
    <mergeCell ref="A2:H2"/>
    <mergeCell ref="B4:C4"/>
    <mergeCell ref="H4:I4"/>
    <mergeCell ref="B12:C12"/>
    <mergeCell ref="G15:J19"/>
    <mergeCell ref="A21:B21"/>
    <mergeCell ref="A22:D26"/>
    <mergeCell ref="G21:H21"/>
    <mergeCell ref="G22:J2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0EF7F-00EA-4DF4-B2CB-B374E52740ED}">
  <dimension ref="A1:U41"/>
  <sheetViews>
    <sheetView topLeftCell="A9" zoomScale="55" workbookViewId="0">
      <selection activeCell="C47" sqref="C47"/>
    </sheetView>
  </sheetViews>
  <sheetFormatPr defaultRowHeight="13.2" x14ac:dyDescent="0.25"/>
  <cols>
    <col min="1" max="2" width="29.21875" customWidth="1"/>
    <col min="3" max="3" width="34.88671875" customWidth="1"/>
    <col min="4" max="4" width="28.44140625" customWidth="1"/>
    <col min="7" max="7" width="7.44140625" customWidth="1"/>
    <col min="8" max="8" width="36.21875" customWidth="1"/>
    <col min="9" max="9" width="32.44140625" customWidth="1"/>
  </cols>
  <sheetData>
    <row r="1" spans="1:21" x14ac:dyDescent="0.25">
      <c r="A1" s="64" t="s">
        <v>372</v>
      </c>
      <c r="B1" s="64"/>
      <c r="C1" s="64"/>
      <c r="G1" s="51" t="s">
        <v>406</v>
      </c>
      <c r="H1" s="51"/>
      <c r="I1" s="51"/>
      <c r="J1" s="51"/>
    </row>
    <row r="3" spans="1:21" x14ac:dyDescent="0.25">
      <c r="A3" s="47" t="s">
        <v>373</v>
      </c>
      <c r="B3" s="47" t="s">
        <v>374</v>
      </c>
      <c r="C3" s="47" t="s">
        <v>375</v>
      </c>
      <c r="D3" s="47" t="s">
        <v>376</v>
      </c>
      <c r="H3" s="47" t="s">
        <v>407</v>
      </c>
      <c r="I3" s="47" t="s">
        <v>408</v>
      </c>
    </row>
    <row r="4" spans="1:21" ht="39.6" x14ac:dyDescent="0.25">
      <c r="A4" s="47" t="s">
        <v>377</v>
      </c>
      <c r="B4" s="45" t="s">
        <v>378</v>
      </c>
      <c r="C4" s="45" t="s">
        <v>379</v>
      </c>
      <c r="D4" s="45" t="s">
        <v>380</v>
      </c>
      <c r="H4" s="45" t="s">
        <v>72</v>
      </c>
      <c r="I4" s="45" t="s">
        <v>409</v>
      </c>
      <c r="M4" s="43"/>
      <c r="N4" s="43"/>
      <c r="O4" s="43"/>
      <c r="P4" s="43"/>
      <c r="Q4" s="43"/>
      <c r="R4" s="43"/>
      <c r="S4" s="43"/>
      <c r="T4" s="43"/>
      <c r="U4" s="43"/>
    </row>
    <row r="5" spans="1:21" ht="26.4" x14ac:dyDescent="0.25">
      <c r="A5" s="47" t="s">
        <v>381</v>
      </c>
      <c r="B5" s="45" t="s">
        <v>382</v>
      </c>
      <c r="C5" s="45" t="s">
        <v>383</v>
      </c>
      <c r="D5" s="45" t="s">
        <v>384</v>
      </c>
      <c r="H5" s="45" t="s">
        <v>66</v>
      </c>
      <c r="I5" s="45" t="s">
        <v>410</v>
      </c>
      <c r="M5" s="43"/>
      <c r="N5" s="43"/>
      <c r="O5" s="43"/>
      <c r="P5" s="43"/>
      <c r="Q5" s="43"/>
      <c r="R5" s="43"/>
      <c r="S5" s="43"/>
      <c r="T5" s="43"/>
      <c r="U5" s="43"/>
    </row>
    <row r="6" spans="1:21" ht="39.6" x14ac:dyDescent="0.25">
      <c r="A6" s="47" t="s">
        <v>385</v>
      </c>
      <c r="B6" s="45" t="s">
        <v>386</v>
      </c>
      <c r="C6" s="45" t="s">
        <v>387</v>
      </c>
      <c r="D6" s="45" t="s">
        <v>388</v>
      </c>
      <c r="H6" s="45" t="s">
        <v>34</v>
      </c>
      <c r="I6" s="45" t="s">
        <v>411</v>
      </c>
      <c r="M6" s="43"/>
      <c r="N6" s="43"/>
      <c r="O6" s="43"/>
      <c r="P6" s="43"/>
      <c r="Q6" s="43"/>
      <c r="R6" s="43"/>
      <c r="S6" s="43"/>
      <c r="T6" s="43"/>
      <c r="U6" s="43"/>
    </row>
    <row r="7" spans="1:21" ht="26.4" x14ac:dyDescent="0.25">
      <c r="A7" s="47" t="s">
        <v>389</v>
      </c>
      <c r="B7" s="45" t="s">
        <v>390</v>
      </c>
      <c r="C7" s="45" t="s">
        <v>391</v>
      </c>
      <c r="D7" s="45" t="s">
        <v>392</v>
      </c>
      <c r="H7" s="45" t="s">
        <v>412</v>
      </c>
      <c r="I7" s="45" t="s">
        <v>413</v>
      </c>
      <c r="M7" s="43"/>
      <c r="N7" s="43"/>
      <c r="O7" s="43"/>
      <c r="P7" s="43"/>
      <c r="Q7" s="43"/>
      <c r="R7" s="43"/>
      <c r="S7" s="43"/>
      <c r="T7" s="43"/>
      <c r="U7" s="43"/>
    </row>
    <row r="8" spans="1:21" ht="39.6" x14ac:dyDescent="0.25">
      <c r="A8" s="47" t="s">
        <v>393</v>
      </c>
      <c r="B8" s="45" t="s">
        <v>394</v>
      </c>
      <c r="C8" s="45" t="s">
        <v>395</v>
      </c>
      <c r="D8" s="45" t="s">
        <v>396</v>
      </c>
      <c r="H8" s="45" t="s">
        <v>414</v>
      </c>
      <c r="I8" s="45" t="s">
        <v>415</v>
      </c>
      <c r="M8" s="43"/>
      <c r="N8" s="43"/>
      <c r="O8" s="43"/>
      <c r="P8" s="43"/>
      <c r="Q8" s="43"/>
      <c r="R8" s="43"/>
      <c r="S8" s="43"/>
      <c r="T8" s="43"/>
      <c r="U8" s="43"/>
    </row>
    <row r="9" spans="1:21" x14ac:dyDescent="0.25">
      <c r="M9" s="43"/>
      <c r="N9" s="43"/>
      <c r="O9" s="43"/>
      <c r="P9" s="43"/>
      <c r="Q9" s="43"/>
      <c r="R9" s="43"/>
      <c r="S9" s="43"/>
      <c r="T9" s="43"/>
      <c r="U9" s="43"/>
    </row>
    <row r="10" spans="1:21" x14ac:dyDescent="0.25">
      <c r="M10" s="43"/>
      <c r="N10" s="43"/>
      <c r="O10" s="43"/>
      <c r="P10" s="43"/>
      <c r="Q10" s="43"/>
      <c r="R10" s="43"/>
      <c r="S10" s="43"/>
      <c r="T10" s="43"/>
      <c r="U10" s="43"/>
    </row>
    <row r="11" spans="1:21" x14ac:dyDescent="0.25">
      <c r="A11" s="75" t="s">
        <v>397</v>
      </c>
      <c r="B11" s="75"/>
      <c r="C11" s="75"/>
      <c r="G11" s="51" t="s">
        <v>416</v>
      </c>
      <c r="H11" s="51"/>
      <c r="I11" s="51"/>
      <c r="J11" s="51"/>
      <c r="M11" s="43"/>
      <c r="N11" s="43"/>
      <c r="O11" s="43"/>
      <c r="P11" s="43"/>
      <c r="Q11" s="43"/>
      <c r="R11" s="43"/>
      <c r="S11" s="43"/>
      <c r="T11" s="43"/>
      <c r="U11" s="43"/>
    </row>
    <row r="12" spans="1:21" ht="13.2" customHeight="1" x14ac:dyDescent="0.25">
      <c r="A12" s="50" t="s">
        <v>398</v>
      </c>
      <c r="B12" s="70"/>
      <c r="C12" s="70"/>
      <c r="D12" s="70"/>
      <c r="G12" s="50" t="s">
        <v>417</v>
      </c>
      <c r="H12" s="50"/>
      <c r="I12" s="50"/>
      <c r="J12" s="50"/>
    </row>
    <row r="13" spans="1:21" x14ac:dyDescent="0.25">
      <c r="A13" s="70"/>
      <c r="B13" s="70"/>
      <c r="C13" s="70"/>
      <c r="D13" s="70"/>
      <c r="G13" s="50"/>
      <c r="H13" s="50"/>
      <c r="I13" s="50"/>
      <c r="J13" s="50"/>
    </row>
    <row r="14" spans="1:21" x14ac:dyDescent="0.25">
      <c r="G14" s="50"/>
      <c r="H14" s="50"/>
      <c r="I14" s="50"/>
      <c r="J14" s="50"/>
    </row>
    <row r="15" spans="1:21" x14ac:dyDescent="0.25">
      <c r="G15" s="50"/>
      <c r="H15" s="50"/>
      <c r="I15" s="50"/>
      <c r="J15" s="50"/>
    </row>
    <row r="16" spans="1:21" x14ac:dyDescent="0.25">
      <c r="A16" s="94" t="s">
        <v>399</v>
      </c>
      <c r="B16" s="89"/>
      <c r="C16" s="90"/>
      <c r="G16" s="50"/>
      <c r="H16" s="50"/>
      <c r="I16" s="50"/>
      <c r="J16" s="50"/>
    </row>
    <row r="17" spans="1:11" x14ac:dyDescent="0.25">
      <c r="A17" s="95" t="s">
        <v>400</v>
      </c>
      <c r="B17" s="96"/>
      <c r="C17" s="96"/>
      <c r="D17" s="96"/>
      <c r="G17" s="50"/>
      <c r="H17" s="50"/>
      <c r="I17" s="50"/>
      <c r="J17" s="50"/>
    </row>
    <row r="18" spans="1:11" x14ac:dyDescent="0.25">
      <c r="A18" s="96"/>
      <c r="B18" s="96"/>
      <c r="C18" s="96"/>
      <c r="D18" s="96"/>
      <c r="G18" s="50"/>
      <c r="H18" s="50"/>
      <c r="I18" s="50"/>
      <c r="J18" s="50"/>
    </row>
    <row r="19" spans="1:11" x14ac:dyDescent="0.25">
      <c r="A19" s="96"/>
      <c r="B19" s="96"/>
      <c r="C19" s="96"/>
      <c r="D19" s="96"/>
      <c r="G19" s="50"/>
      <c r="H19" s="50"/>
      <c r="I19" s="50"/>
      <c r="J19" s="50"/>
    </row>
    <row r="20" spans="1:11" x14ac:dyDescent="0.25">
      <c r="A20" s="96"/>
      <c r="B20" s="96"/>
      <c r="C20" s="96"/>
      <c r="D20" s="96"/>
      <c r="G20" s="50"/>
      <c r="H20" s="50"/>
      <c r="I20" s="50"/>
      <c r="J20" s="50"/>
    </row>
    <row r="21" spans="1:11" x14ac:dyDescent="0.25">
      <c r="A21" s="96"/>
      <c r="B21" s="96"/>
      <c r="C21" s="96"/>
      <c r="D21" s="96"/>
      <c r="G21" s="50"/>
      <c r="H21" s="50"/>
      <c r="I21" s="50"/>
      <c r="J21" s="50"/>
    </row>
    <row r="22" spans="1:11" x14ac:dyDescent="0.25">
      <c r="A22" s="96"/>
      <c r="B22" s="96"/>
      <c r="C22" s="96"/>
      <c r="D22" s="96"/>
      <c r="G22" s="50"/>
      <c r="H22" s="50"/>
      <c r="I22" s="50"/>
      <c r="J22" s="50"/>
    </row>
    <row r="23" spans="1:11" x14ac:dyDescent="0.25">
      <c r="G23" s="50"/>
      <c r="H23" s="50"/>
      <c r="I23" s="50"/>
      <c r="J23" s="50"/>
    </row>
    <row r="24" spans="1:11" x14ac:dyDescent="0.25">
      <c r="G24" s="50"/>
      <c r="H24" s="50"/>
      <c r="I24" s="50"/>
      <c r="J24" s="50"/>
    </row>
    <row r="25" spans="1:11" x14ac:dyDescent="0.25">
      <c r="A25" s="78" t="s">
        <v>401</v>
      </c>
      <c r="B25" s="78"/>
      <c r="C25" s="78"/>
      <c r="G25" s="50"/>
      <c r="H25" s="50"/>
      <c r="I25" s="50"/>
      <c r="J25" s="50"/>
    </row>
    <row r="26" spans="1:11" x14ac:dyDescent="0.25">
      <c r="A26" s="52" t="s">
        <v>402</v>
      </c>
      <c r="B26" s="89"/>
      <c r="C26" s="89"/>
      <c r="D26" s="90"/>
    </row>
    <row r="27" spans="1:11" x14ac:dyDescent="0.25">
      <c r="A27" s="91"/>
      <c r="B27" s="92"/>
      <c r="C27" s="92"/>
      <c r="D27" s="93"/>
    </row>
    <row r="28" spans="1:11" x14ac:dyDescent="0.25">
      <c r="G28" s="64" t="s">
        <v>418</v>
      </c>
      <c r="H28" s="64"/>
      <c r="I28" s="64"/>
      <c r="J28" s="64"/>
      <c r="K28" s="64"/>
    </row>
    <row r="29" spans="1:11" x14ac:dyDescent="0.25">
      <c r="G29" s="64" t="s">
        <v>419</v>
      </c>
      <c r="H29" s="64"/>
      <c r="I29" s="64"/>
      <c r="J29" s="64"/>
      <c r="K29" s="64"/>
    </row>
    <row r="30" spans="1:11" x14ac:dyDescent="0.25">
      <c r="A30" s="51" t="s">
        <v>403</v>
      </c>
      <c r="B30" s="51"/>
      <c r="C30" s="51"/>
      <c r="D30" s="51"/>
    </row>
    <row r="31" spans="1:11" ht="13.2" customHeight="1" x14ac:dyDescent="0.25">
      <c r="A31" s="50" t="s">
        <v>404</v>
      </c>
      <c r="B31" s="70"/>
      <c r="C31" s="70"/>
      <c r="D31" s="70"/>
      <c r="G31" s="88" t="s">
        <v>420</v>
      </c>
      <c r="H31" s="88"/>
      <c r="I31" s="88"/>
      <c r="J31" s="88"/>
      <c r="K31" s="88"/>
    </row>
    <row r="32" spans="1:11" x14ac:dyDescent="0.25">
      <c r="A32" s="70"/>
      <c r="B32" s="70"/>
      <c r="C32" s="70"/>
      <c r="D32" s="70"/>
      <c r="G32" s="88"/>
      <c r="H32" s="88"/>
      <c r="I32" s="88"/>
      <c r="J32" s="88"/>
      <c r="K32" s="88"/>
    </row>
    <row r="33" spans="1:11" x14ac:dyDescent="0.25">
      <c r="A33" s="70"/>
      <c r="B33" s="70"/>
      <c r="C33" s="70"/>
      <c r="D33" s="70"/>
      <c r="G33" s="88"/>
      <c r="H33" s="88"/>
      <c r="I33" s="88"/>
      <c r="J33" s="88"/>
      <c r="K33" s="88"/>
    </row>
    <row r="34" spans="1:11" x14ac:dyDescent="0.25">
      <c r="A34" s="50" t="s">
        <v>405</v>
      </c>
      <c r="B34" s="70"/>
      <c r="C34" s="70"/>
      <c r="D34" s="70"/>
      <c r="G34" s="88"/>
      <c r="H34" s="88"/>
      <c r="I34" s="88"/>
      <c r="J34" s="88"/>
      <c r="K34" s="88"/>
    </row>
    <row r="35" spans="1:11" x14ac:dyDescent="0.25">
      <c r="G35" s="88"/>
      <c r="H35" s="88"/>
      <c r="I35" s="88"/>
      <c r="J35" s="88"/>
      <c r="K35" s="88"/>
    </row>
    <row r="36" spans="1:11" x14ac:dyDescent="0.25">
      <c r="G36" s="88"/>
      <c r="H36" s="88"/>
      <c r="I36" s="88"/>
      <c r="J36" s="88"/>
      <c r="K36" s="88"/>
    </row>
    <row r="37" spans="1:11" x14ac:dyDescent="0.25">
      <c r="A37" s="76" t="s">
        <v>421</v>
      </c>
      <c r="B37" s="87"/>
      <c r="C37" s="77"/>
      <c r="G37" s="88"/>
      <c r="H37" s="88"/>
      <c r="I37" s="88"/>
      <c r="J37" s="88"/>
      <c r="K37" s="88"/>
    </row>
    <row r="38" spans="1:11" x14ac:dyDescent="0.25">
      <c r="A38" s="50" t="s">
        <v>422</v>
      </c>
      <c r="B38" s="70"/>
      <c r="C38" s="70"/>
      <c r="D38" s="70"/>
      <c r="G38" s="88"/>
      <c r="H38" s="88"/>
      <c r="I38" s="88"/>
      <c r="J38" s="88"/>
      <c r="K38" s="88"/>
    </row>
    <row r="39" spans="1:11" x14ac:dyDescent="0.25">
      <c r="A39" s="70"/>
      <c r="B39" s="70"/>
      <c r="C39" s="70"/>
      <c r="D39" s="70"/>
      <c r="G39" s="88"/>
      <c r="H39" s="88"/>
      <c r="I39" s="88"/>
      <c r="J39" s="88"/>
      <c r="K39" s="88"/>
    </row>
    <row r="40" spans="1:11" x14ac:dyDescent="0.25">
      <c r="A40" s="70"/>
      <c r="B40" s="70"/>
      <c r="C40" s="70"/>
      <c r="D40" s="70"/>
      <c r="G40" s="88"/>
      <c r="H40" s="88"/>
      <c r="I40" s="88"/>
      <c r="J40" s="88"/>
      <c r="K40" s="88"/>
    </row>
    <row r="41" spans="1:11" x14ac:dyDescent="0.25">
      <c r="A41" s="70"/>
      <c r="B41" s="70"/>
      <c r="C41" s="70"/>
      <c r="D41" s="70"/>
      <c r="G41" s="88"/>
      <c r="H41" s="88"/>
      <c r="I41" s="88"/>
      <c r="J41" s="88"/>
      <c r="K41" s="88"/>
    </row>
  </sheetData>
  <mergeCells count="18">
    <mergeCell ref="A26:D27"/>
    <mergeCell ref="A30:D30"/>
    <mergeCell ref="A31:D33"/>
    <mergeCell ref="A34:D34"/>
    <mergeCell ref="G1:J1"/>
    <mergeCell ref="G11:J11"/>
    <mergeCell ref="G12:J25"/>
    <mergeCell ref="A1:C1"/>
    <mergeCell ref="A11:C11"/>
    <mergeCell ref="A12:D13"/>
    <mergeCell ref="A16:C16"/>
    <mergeCell ref="A17:D22"/>
    <mergeCell ref="A25:C25"/>
    <mergeCell ref="A37:C37"/>
    <mergeCell ref="A38:D41"/>
    <mergeCell ref="G28:K28"/>
    <mergeCell ref="G29:K29"/>
    <mergeCell ref="G31:K4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3A3DC-B0A1-457E-BCDB-5AD2A68DC0E4}">
  <dimension ref="A1:N42"/>
  <sheetViews>
    <sheetView zoomScale="61" workbookViewId="0">
      <selection activeCell="K36" sqref="K36"/>
    </sheetView>
  </sheetViews>
  <sheetFormatPr defaultRowHeight="13.2" x14ac:dyDescent="0.25"/>
  <cols>
    <col min="2" max="2" width="27.33203125" customWidth="1"/>
    <col min="3" max="3" width="29.88671875" customWidth="1"/>
    <col min="4" max="4" width="33.21875" customWidth="1"/>
    <col min="5" max="5" width="31.21875" customWidth="1"/>
    <col min="10" max="10" width="25.77734375" customWidth="1"/>
    <col min="11" max="11" width="24.44140625" customWidth="1"/>
    <col min="12" max="12" width="41.44140625" customWidth="1"/>
  </cols>
  <sheetData>
    <row r="1" spans="1:14" ht="13.2" customHeight="1" x14ac:dyDescent="0.25">
      <c r="A1" s="51" t="s">
        <v>423</v>
      </c>
      <c r="B1" s="51"/>
      <c r="C1" s="51"/>
      <c r="D1" s="51"/>
      <c r="E1" s="51"/>
      <c r="F1" s="51"/>
      <c r="I1" s="51" t="s">
        <v>464</v>
      </c>
      <c r="J1" s="51"/>
      <c r="K1" s="51"/>
      <c r="L1" s="51"/>
      <c r="M1" s="51"/>
      <c r="N1" s="51"/>
    </row>
    <row r="2" spans="1:14" x14ac:dyDescent="0.25">
      <c r="A2" s="51"/>
      <c r="B2" s="51"/>
      <c r="C2" s="51"/>
      <c r="D2" s="51"/>
      <c r="E2" s="51"/>
      <c r="F2" s="51"/>
      <c r="I2" s="51"/>
      <c r="J2" s="51"/>
      <c r="K2" s="51"/>
      <c r="L2" s="51"/>
      <c r="M2" s="51"/>
      <c r="N2" s="51"/>
    </row>
    <row r="4" spans="1:14" x14ac:dyDescent="0.25">
      <c r="B4" s="47" t="s">
        <v>424</v>
      </c>
      <c r="C4" s="47" t="s">
        <v>425</v>
      </c>
      <c r="D4" s="47" t="s">
        <v>426</v>
      </c>
      <c r="E4" s="47" t="s">
        <v>427</v>
      </c>
      <c r="J4" s="47" t="s">
        <v>465</v>
      </c>
      <c r="K4" s="47" t="s">
        <v>466</v>
      </c>
      <c r="L4" s="47" t="s">
        <v>467</v>
      </c>
    </row>
    <row r="5" spans="1:14" ht="92.4" customHeight="1" x14ac:dyDescent="0.25">
      <c r="B5" s="47" t="s">
        <v>428</v>
      </c>
      <c r="C5" s="45" t="s">
        <v>429</v>
      </c>
      <c r="D5" s="45" t="s">
        <v>430</v>
      </c>
      <c r="E5" s="45" t="s">
        <v>431</v>
      </c>
      <c r="J5" s="47" t="s">
        <v>468</v>
      </c>
      <c r="K5" s="47" t="s">
        <v>469</v>
      </c>
      <c r="L5" s="45" t="s">
        <v>470</v>
      </c>
    </row>
    <row r="6" spans="1:14" ht="118.8" customHeight="1" x14ac:dyDescent="0.25">
      <c r="B6" s="47" t="s">
        <v>432</v>
      </c>
      <c r="C6" s="45" t="s">
        <v>433</v>
      </c>
      <c r="D6" s="45" t="s">
        <v>434</v>
      </c>
      <c r="E6" s="45" t="s">
        <v>435</v>
      </c>
      <c r="J6" s="47" t="s">
        <v>471</v>
      </c>
      <c r="K6" s="47" t="s">
        <v>472</v>
      </c>
      <c r="L6" s="45" t="s">
        <v>473</v>
      </c>
    </row>
    <row r="7" spans="1:14" ht="105.6" customHeight="1" x14ac:dyDescent="0.25">
      <c r="B7" s="47" t="s">
        <v>436</v>
      </c>
      <c r="C7" s="45" t="s">
        <v>437</v>
      </c>
      <c r="D7" s="45" t="s">
        <v>438</v>
      </c>
      <c r="E7" s="45" t="s">
        <v>439</v>
      </c>
      <c r="J7" s="47" t="s">
        <v>474</v>
      </c>
      <c r="K7" s="47" t="s">
        <v>475</v>
      </c>
      <c r="L7" s="45" t="s">
        <v>476</v>
      </c>
    </row>
    <row r="8" spans="1:14" ht="52.8" x14ac:dyDescent="0.25">
      <c r="B8" s="47" t="s">
        <v>440</v>
      </c>
      <c r="C8" s="45" t="s">
        <v>441</v>
      </c>
      <c r="D8" s="45" t="s">
        <v>442</v>
      </c>
      <c r="E8" s="45" t="s">
        <v>443</v>
      </c>
    </row>
    <row r="9" spans="1:14" ht="52.8" x14ac:dyDescent="0.25">
      <c r="B9" s="47" t="s">
        <v>444</v>
      </c>
      <c r="C9" s="45" t="s">
        <v>445</v>
      </c>
      <c r="D9" s="45" t="s">
        <v>446</v>
      </c>
      <c r="E9" s="45" t="s">
        <v>447</v>
      </c>
    </row>
    <row r="12" spans="1:14" x14ac:dyDescent="0.25">
      <c r="A12" s="51" t="s">
        <v>448</v>
      </c>
      <c r="B12" s="51"/>
      <c r="C12" s="51"/>
      <c r="D12" s="51"/>
      <c r="E12" s="51"/>
      <c r="F12" s="51"/>
      <c r="J12" s="51" t="s">
        <v>477</v>
      </c>
      <c r="K12" s="51"/>
      <c r="L12" s="51"/>
      <c r="M12" s="51"/>
    </row>
    <row r="14" spans="1:14" x14ac:dyDescent="0.25">
      <c r="C14" s="47" t="s">
        <v>449</v>
      </c>
      <c r="D14" s="47" t="s">
        <v>450</v>
      </c>
      <c r="E14" s="47" t="s">
        <v>451</v>
      </c>
      <c r="J14" s="47" t="s">
        <v>478</v>
      </c>
      <c r="K14" s="47" t="s">
        <v>479</v>
      </c>
      <c r="L14" s="47" t="s">
        <v>480</v>
      </c>
    </row>
    <row r="15" spans="1:14" ht="39.6" x14ac:dyDescent="0.25">
      <c r="C15" s="45" t="s">
        <v>452</v>
      </c>
      <c r="D15" s="47" t="s">
        <v>134</v>
      </c>
      <c r="E15" s="45" t="s">
        <v>453</v>
      </c>
      <c r="J15" s="45" t="s">
        <v>481</v>
      </c>
      <c r="K15" s="47" t="s">
        <v>482</v>
      </c>
      <c r="L15" s="45" t="s">
        <v>483</v>
      </c>
    </row>
    <row r="16" spans="1:14" ht="26.4" x14ac:dyDescent="0.25">
      <c r="C16" s="45" t="s">
        <v>454</v>
      </c>
      <c r="D16" s="47" t="s">
        <v>134</v>
      </c>
      <c r="E16" s="45" t="s">
        <v>455</v>
      </c>
      <c r="J16" s="45" t="s">
        <v>484</v>
      </c>
      <c r="K16" s="47" t="s">
        <v>485</v>
      </c>
      <c r="L16" s="45" t="s">
        <v>486</v>
      </c>
    </row>
    <row r="17" spans="1:12" ht="26.4" x14ac:dyDescent="0.25">
      <c r="C17" s="45" t="s">
        <v>456</v>
      </c>
      <c r="D17" s="47" t="s">
        <v>134</v>
      </c>
      <c r="E17" s="45" t="s">
        <v>457</v>
      </c>
      <c r="J17" s="45" t="s">
        <v>487</v>
      </c>
      <c r="K17" s="47" t="s">
        <v>488</v>
      </c>
      <c r="L17" s="45" t="s">
        <v>489</v>
      </c>
    </row>
    <row r="18" spans="1:12" ht="26.4" x14ac:dyDescent="0.25">
      <c r="C18" s="45" t="s">
        <v>458</v>
      </c>
      <c r="D18" s="47" t="s">
        <v>459</v>
      </c>
      <c r="E18" s="45" t="s">
        <v>460</v>
      </c>
      <c r="J18" s="45" t="s">
        <v>490</v>
      </c>
      <c r="K18" s="47" t="s">
        <v>491</v>
      </c>
      <c r="L18" s="45" t="s">
        <v>492</v>
      </c>
    </row>
    <row r="19" spans="1:12" ht="39.6" x14ac:dyDescent="0.25">
      <c r="C19" s="45" t="s">
        <v>461</v>
      </c>
      <c r="D19" s="47" t="s">
        <v>462</v>
      </c>
      <c r="E19" s="45" t="s">
        <v>463</v>
      </c>
      <c r="J19" s="45" t="s">
        <v>493</v>
      </c>
      <c r="K19" s="47" t="s">
        <v>494</v>
      </c>
      <c r="L19" s="45" t="s">
        <v>495</v>
      </c>
    </row>
    <row r="20" spans="1:12" ht="26.4" x14ac:dyDescent="0.25">
      <c r="J20" s="45" t="s">
        <v>496</v>
      </c>
      <c r="K20" s="47" t="s">
        <v>497</v>
      </c>
      <c r="L20" s="45" t="s">
        <v>498</v>
      </c>
    </row>
    <row r="21" spans="1:12" ht="26.4" x14ac:dyDescent="0.25">
      <c r="A21" s="64" t="s">
        <v>505</v>
      </c>
      <c r="B21" s="64"/>
      <c r="C21" s="64"/>
      <c r="D21" s="64"/>
      <c r="E21" s="64"/>
      <c r="F21" s="64"/>
      <c r="J21" s="45" t="s">
        <v>499</v>
      </c>
      <c r="K21" s="47" t="s">
        <v>500</v>
      </c>
      <c r="L21" s="45" t="s">
        <v>501</v>
      </c>
    </row>
    <row r="22" spans="1:12" ht="26.4" x14ac:dyDescent="0.25">
      <c r="B22" s="50" t="s">
        <v>506</v>
      </c>
      <c r="C22" s="50"/>
      <c r="D22" s="50"/>
      <c r="E22" s="50"/>
      <c r="J22" s="45" t="s">
        <v>502</v>
      </c>
      <c r="K22" s="47" t="s">
        <v>503</v>
      </c>
      <c r="L22" s="45" t="s">
        <v>504</v>
      </c>
    </row>
    <row r="23" spans="1:12" x14ac:dyDescent="0.25">
      <c r="B23" s="50"/>
      <c r="C23" s="50"/>
      <c r="D23" s="50"/>
      <c r="E23" s="50"/>
    </row>
    <row r="24" spans="1:12" x14ac:dyDescent="0.25">
      <c r="B24" s="50"/>
      <c r="C24" s="50"/>
      <c r="D24" s="50"/>
      <c r="E24" s="50"/>
    </row>
    <row r="25" spans="1:12" x14ac:dyDescent="0.25">
      <c r="B25" s="50"/>
      <c r="C25" s="50"/>
      <c r="D25" s="50"/>
      <c r="E25" s="50"/>
      <c r="J25" s="51" t="s">
        <v>522</v>
      </c>
      <c r="K25" s="51"/>
      <c r="L25" s="51"/>
    </row>
    <row r="26" spans="1:12" x14ac:dyDescent="0.25">
      <c r="B26" s="50"/>
      <c r="C26" s="50"/>
      <c r="D26" s="50"/>
      <c r="E26" s="50"/>
    </row>
    <row r="27" spans="1:12" x14ac:dyDescent="0.25">
      <c r="J27" s="50" t="s">
        <v>523</v>
      </c>
      <c r="K27" s="50"/>
      <c r="L27" s="50"/>
    </row>
    <row r="28" spans="1:12" x14ac:dyDescent="0.25">
      <c r="J28" s="50"/>
      <c r="K28" s="50"/>
      <c r="L28" s="50"/>
    </row>
    <row r="29" spans="1:12" x14ac:dyDescent="0.25">
      <c r="A29" s="51" t="s">
        <v>507</v>
      </c>
      <c r="B29" s="51"/>
      <c r="C29" s="51"/>
      <c r="D29" s="51"/>
      <c r="E29" s="51"/>
      <c r="F29" s="51"/>
      <c r="J29" s="50"/>
      <c r="K29" s="50"/>
      <c r="L29" s="50"/>
    </row>
    <row r="30" spans="1:12" x14ac:dyDescent="0.25">
      <c r="B30" s="52" t="s">
        <v>508</v>
      </c>
      <c r="C30" s="53"/>
      <c r="D30" s="53"/>
      <c r="E30" s="54"/>
      <c r="J30" s="50"/>
      <c r="K30" s="50"/>
      <c r="L30" s="50"/>
    </row>
    <row r="31" spans="1:12" x14ac:dyDescent="0.25">
      <c r="B31" s="55"/>
      <c r="C31" s="56"/>
      <c r="D31" s="56"/>
      <c r="E31" s="57"/>
      <c r="J31" s="50"/>
      <c r="K31" s="50"/>
      <c r="L31" s="50"/>
    </row>
    <row r="32" spans="1:12" x14ac:dyDescent="0.25">
      <c r="B32" s="58"/>
      <c r="C32" s="59"/>
      <c r="D32" s="59"/>
      <c r="E32" s="60"/>
    </row>
    <row r="35" spans="1:6" x14ac:dyDescent="0.25">
      <c r="A35" s="61" t="s">
        <v>509</v>
      </c>
      <c r="B35" s="62"/>
      <c r="C35" s="62"/>
      <c r="D35" s="62"/>
      <c r="E35" s="62"/>
      <c r="F35" s="63"/>
    </row>
    <row r="37" spans="1:6" x14ac:dyDescent="0.25">
      <c r="C37" s="47" t="s">
        <v>510</v>
      </c>
      <c r="D37" s="47" t="s">
        <v>511</v>
      </c>
    </row>
    <row r="38" spans="1:6" ht="26.4" x14ac:dyDescent="0.25">
      <c r="C38" s="45" t="s">
        <v>512</v>
      </c>
      <c r="D38" s="45" t="s">
        <v>513</v>
      </c>
    </row>
    <row r="39" spans="1:6" ht="26.4" x14ac:dyDescent="0.25">
      <c r="C39" s="45" t="s">
        <v>514</v>
      </c>
      <c r="D39" s="45" t="s">
        <v>515</v>
      </c>
    </row>
    <row r="40" spans="1:6" ht="26.4" x14ac:dyDescent="0.25">
      <c r="C40" s="45" t="s">
        <v>516</v>
      </c>
      <c r="D40" s="45" t="s">
        <v>517</v>
      </c>
    </row>
    <row r="41" spans="1:6" ht="26.4" x14ac:dyDescent="0.25">
      <c r="C41" s="45" t="s">
        <v>518</v>
      </c>
      <c r="D41" s="45" t="s">
        <v>519</v>
      </c>
    </row>
    <row r="42" spans="1:6" ht="26.4" x14ac:dyDescent="0.25">
      <c r="C42" s="45" t="s">
        <v>520</v>
      </c>
      <c r="D42" s="45" t="s">
        <v>521</v>
      </c>
    </row>
  </sheetData>
  <mergeCells count="11">
    <mergeCell ref="A1:F2"/>
    <mergeCell ref="A12:F12"/>
    <mergeCell ref="I1:N2"/>
    <mergeCell ref="J12:M12"/>
    <mergeCell ref="A21:F21"/>
    <mergeCell ref="B22:E26"/>
    <mergeCell ref="A29:F29"/>
    <mergeCell ref="B30:E32"/>
    <mergeCell ref="A35:F35"/>
    <mergeCell ref="J25:L25"/>
    <mergeCell ref="J27:L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Raw_Data</vt:lpstr>
      <vt:lpstr>Cleaned_Data</vt:lpstr>
      <vt:lpstr>Excel_Analysis</vt:lpstr>
      <vt:lpstr>Insights_Summary</vt:lpstr>
      <vt:lpstr>Secondary_Research</vt:lpstr>
      <vt:lpstr>Competitior_Benchmarking</vt:lpstr>
      <vt:lpstr>Business_Analysis</vt:lpstr>
      <vt:lpstr>STP_Strategy</vt:lpstr>
      <vt:lpstr>Recommendations_Roadmap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Shivani Sethi</dc:creator>
  <cp:lastModifiedBy>Shivani Sethi</cp:lastModifiedBy>
  <dcterms:created xsi:type="dcterms:W3CDTF">2026-10-02T16:38:15Z</dcterms:created>
  <dcterms:modified xsi:type="dcterms:W3CDTF">2026-10-04T14:38:25Z</dcterms:modified>
</cp:coreProperties>
</file>